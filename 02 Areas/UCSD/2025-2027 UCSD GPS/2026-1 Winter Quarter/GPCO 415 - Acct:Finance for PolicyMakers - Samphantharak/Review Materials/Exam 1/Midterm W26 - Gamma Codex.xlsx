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edgar/Documents/01 Projects/GPCO 415 - Acct:Finance for PolicyMakers - Samphantharak/Review Materials/Exam 1/"/>
    </mc:Choice>
  </mc:AlternateContent>
  <xr:revisionPtr revIDLastSave="0" documentId="13_ncr:1_{79F8FA26-90B4-1F42-A8C4-5472C007B81C}" xr6:coauthVersionLast="47" xr6:coauthVersionMax="47" xr10:uidLastSave="{00000000-0000-0000-0000-000000000000}"/>
  <bookViews>
    <workbookView xWindow="0" yWindow="660" windowWidth="29400" windowHeight="18460" activeTab="3" xr2:uid="{9DB18992-A057-434E-AC09-D24C46E9B888}"/>
  </bookViews>
  <sheets>
    <sheet name="Honor Code Statement" sheetId="3" r:id="rId1"/>
    <sheet name="Instruction" sheetId="4" r:id="rId2"/>
    <sheet name="Problem 1" sheetId="7" r:id="rId3"/>
    <sheet name="Problem 2"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0" i="6" l="1"/>
  <c r="M49" i="6"/>
  <c r="M46" i="6"/>
  <c r="N46" i="6"/>
  <c r="O46" i="6"/>
  <c r="N49" i="6"/>
  <c r="O49" i="6"/>
  <c r="M47" i="6"/>
  <c r="O44" i="6"/>
  <c r="O47" i="6" s="1"/>
  <c r="O50" i="6" s="1"/>
  <c r="N44" i="6"/>
  <c r="N47" i="6" s="1"/>
  <c r="M44" i="6"/>
  <c r="N43" i="6"/>
  <c r="O43" i="6"/>
  <c r="M43" i="6"/>
  <c r="O40" i="6"/>
  <c r="N37" i="6"/>
  <c r="O37" i="6"/>
  <c r="P37" i="6"/>
  <c r="M37" i="6"/>
  <c r="N34" i="6"/>
  <c r="N38" i="6" s="1"/>
  <c r="O34" i="6"/>
  <c r="O38" i="6" s="1"/>
  <c r="P34" i="6"/>
  <c r="P38" i="6" s="1"/>
  <c r="M34" i="6"/>
  <c r="M38" i="6" s="1"/>
  <c r="N33" i="6"/>
  <c r="O33" i="6"/>
  <c r="P33" i="6"/>
  <c r="M33" i="6"/>
  <c r="N32" i="6"/>
  <c r="O32" i="6"/>
  <c r="P32" i="6"/>
  <c r="N30" i="6"/>
  <c r="O30" i="6"/>
  <c r="P30" i="6"/>
  <c r="M30" i="6"/>
  <c r="M31" i="6"/>
  <c r="M36" i="6" s="1"/>
  <c r="M32" i="6"/>
  <c r="M40" i="6" s="1"/>
  <c r="N29" i="6"/>
  <c r="N39" i="6" s="1"/>
  <c r="O29" i="6"/>
  <c r="P29" i="6"/>
  <c r="M29" i="6"/>
  <c r="N31" i="6"/>
  <c r="N36" i="6" s="1"/>
  <c r="O31" i="6"/>
  <c r="O36" i="6" s="1"/>
  <c r="P31" i="6"/>
  <c r="P36" i="6" s="1"/>
  <c r="N28" i="6"/>
  <c r="N41" i="6" s="1"/>
  <c r="O28" i="6"/>
  <c r="O45" i="6" s="1"/>
  <c r="O48" i="6" s="1"/>
  <c r="P28" i="6"/>
  <c r="M28" i="6"/>
  <c r="M45" i="6" s="1"/>
  <c r="M48" i="6" s="1"/>
  <c r="C55" i="7"/>
  <c r="C38" i="7"/>
  <c r="C45" i="7" s="1"/>
  <c r="C52" i="7"/>
  <c r="C53" i="7" s="1"/>
  <c r="C51" i="7"/>
  <c r="C47" i="7"/>
  <c r="M50" i="6" l="1"/>
  <c r="M41" i="6"/>
  <c r="M39" i="6"/>
  <c r="N45" i="6"/>
  <c r="N48" i="6" s="1"/>
  <c r="O41" i="6"/>
  <c r="N40" i="6"/>
  <c r="O42" i="6"/>
  <c r="N42" i="6"/>
  <c r="M42" i="6"/>
  <c r="O39" i="6"/>
</calcChain>
</file>

<file path=xl/sharedStrings.xml><?xml version="1.0" encoding="utf-8"?>
<sst xmlns="http://schemas.openxmlformats.org/spreadsheetml/2006/main" count="228" uniqueCount="187">
  <si>
    <t>Assets</t>
  </si>
  <si>
    <t>Inventory</t>
  </si>
  <si>
    <t>Total assets</t>
  </si>
  <si>
    <t>Liabilities</t>
  </si>
  <si>
    <t>Deferred revenue</t>
  </si>
  <si>
    <t>Total liabilities</t>
  </si>
  <si>
    <t>Retained earnings</t>
  </si>
  <si>
    <t>Balance Sheet (As of December 31)</t>
  </si>
  <si>
    <t>Income Statement (Ending on December 31)</t>
  </si>
  <si>
    <t>Gross profit</t>
  </si>
  <si>
    <t>Net income</t>
  </si>
  <si>
    <t>Asset turnover ratio</t>
  </si>
  <si>
    <t>Equities</t>
  </si>
  <si>
    <t>Item</t>
  </si>
  <si>
    <t>Increase/Decrease</t>
  </si>
  <si>
    <t>Amount</t>
  </si>
  <si>
    <t>Cash</t>
  </si>
  <si>
    <t>Increase</t>
  </si>
  <si>
    <t>Account receivable</t>
  </si>
  <si>
    <t>Example</t>
  </si>
  <si>
    <t>Contributed capital</t>
  </si>
  <si>
    <t>Honor Code Statement</t>
  </si>
  <si>
    <t>By submitting this exam, I affirm that I did not and will not give or receive any unauthorized help on this exam, and that all work is my own.</t>
  </si>
  <si>
    <t>Instruction</t>
  </si>
  <si>
    <t>1. Sign and date the Honor Code Statement.</t>
  </si>
  <si>
    <t>2. Make sure that you download and work on the version of the exam that is assigned to you.</t>
  </si>
  <si>
    <r>
      <t xml:space="preserve">3. This exam has a number of </t>
    </r>
    <r>
      <rPr>
        <b/>
        <sz val="12"/>
        <color rgb="FF182B49"/>
        <rFont val="Aptos Narrow"/>
        <family val="2"/>
        <scheme val="minor"/>
      </rPr>
      <t>problems</t>
    </r>
    <r>
      <rPr>
        <sz val="12"/>
        <color rgb="FF182B49"/>
        <rFont val="Aptos Narrow"/>
        <family val="2"/>
        <scheme val="minor"/>
      </rPr>
      <t xml:space="preserve"> in separate worksheets.  Each problem has a number of </t>
    </r>
    <r>
      <rPr>
        <b/>
        <sz val="12"/>
        <color rgb="FF182B49"/>
        <rFont val="Aptos Narrow"/>
        <family val="2"/>
        <scheme val="minor"/>
      </rPr>
      <t>questions</t>
    </r>
    <r>
      <rPr>
        <sz val="12"/>
        <color rgb="FF182B49"/>
        <rFont val="Aptos Narrow"/>
        <family val="2"/>
        <scheme val="minor"/>
      </rPr>
      <t>.</t>
    </r>
  </si>
  <si>
    <r>
      <t xml:space="preserve">    Unless otherwise stated, each </t>
    </r>
    <r>
      <rPr>
        <b/>
        <sz val="12"/>
        <color rgb="FF182B49"/>
        <rFont val="Aptos Narrow"/>
        <family val="2"/>
        <scheme val="minor"/>
      </rPr>
      <t>question</t>
    </r>
    <r>
      <rPr>
        <sz val="12"/>
        <color rgb="FF182B49"/>
        <rFont val="Aptos Narrow"/>
        <family val="2"/>
        <scheme val="minor"/>
      </rPr>
      <t xml:space="preserve"> is worth 10 points.</t>
    </r>
  </si>
  <si>
    <r>
      <t xml:space="preserve">4. A bonus of up to 10 points </t>
    </r>
    <r>
      <rPr>
        <b/>
        <u/>
        <sz val="12"/>
        <color rgb="FF182B49"/>
        <rFont val="Calibri (Body)"/>
      </rPr>
      <t>per problem</t>
    </r>
    <r>
      <rPr>
        <sz val="12"/>
        <color rgb="FF182B49"/>
        <rFont val="Aptos Narrow"/>
        <family val="2"/>
        <scheme val="minor"/>
      </rPr>
      <t xml:space="preserve"> will be awarded for the organization of the spreadsheet.</t>
    </r>
  </si>
  <si>
    <t xml:space="preserve">    This bonus includes, among other things, data area construction and using reference to cells (rather than repeating hand-entered data)</t>
  </si>
  <si>
    <t xml:space="preserve">    so that when the data is changed the worksheet should adjust to produce a new, correct solution.</t>
  </si>
  <si>
    <t>5. Partial credit will be awarded only if your solution is clear so that incremental steps can be understood.</t>
  </si>
  <si>
    <t xml:space="preserve">    Final answers, even if correct, will be awarded credit only if it is clear how you get the solution.</t>
  </si>
  <si>
    <t>6. Use the color code of each question in your solution for easy identification.</t>
  </si>
  <si>
    <t>7. All work on each problem should be done only in its worksheet.  Do not add worksheets to this workbook. Do not submit other attachment.</t>
  </si>
  <si>
    <r>
      <t xml:space="preserve">8. While you work, </t>
    </r>
    <r>
      <rPr>
        <b/>
        <sz val="12"/>
        <color rgb="FF182B49"/>
        <rFont val="Aptos Narrow"/>
        <family val="2"/>
        <scheme val="minor"/>
      </rPr>
      <t>save the file EVERY 5 minutes</t>
    </r>
    <r>
      <rPr>
        <sz val="12"/>
        <color rgb="FF182B49"/>
        <rFont val="Aptos Narrow"/>
        <family val="2"/>
        <scheme val="minor"/>
      </rPr>
      <t>. This will protect you against computer mishaps.</t>
    </r>
  </si>
  <si>
    <r>
      <rPr>
        <sz val="12"/>
        <color rgb="FF182B49"/>
        <rFont val="Aptos Narrow"/>
        <family val="2"/>
        <scheme val="minor"/>
      </rPr>
      <t xml:space="preserve">9. Before you send the file, save it and quit the Excel application. </t>
    </r>
    <r>
      <rPr>
        <b/>
        <sz val="12"/>
        <color rgb="FF182B49"/>
        <rFont val="Aptos Narrow"/>
        <family val="2"/>
        <scheme val="minor"/>
      </rPr>
      <t xml:space="preserve">Upload the file only to Canvas. Nowhere else. </t>
    </r>
  </si>
  <si>
    <t xml:space="preserve">10. Maximize your score by executing easy questions in all problems. The order of execution of your question is of no consequence. </t>
  </si>
  <si>
    <t>11. Submit your file on time. Files with a late time stamp will not be accepted.</t>
  </si>
  <si>
    <r>
      <t xml:space="preserve">12. The exam is open-book, open-note. You are allowed to use any material (hard or digital) as long as it is </t>
    </r>
    <r>
      <rPr>
        <b/>
        <sz val="12"/>
        <color rgb="FF182B49"/>
        <rFont val="Aptos Narrow"/>
        <family val="2"/>
        <scheme val="minor"/>
      </rPr>
      <t>offline</t>
    </r>
    <r>
      <rPr>
        <sz val="12"/>
        <color rgb="FF182B49"/>
        <rFont val="Aptos Narrow"/>
        <family val="2"/>
        <scheme val="minor"/>
      </rPr>
      <t xml:space="preserve">. </t>
    </r>
    <r>
      <rPr>
        <b/>
        <sz val="12"/>
        <color rgb="FF182B49"/>
        <rFont val="Aptos Narrow"/>
        <family val="2"/>
        <scheme val="minor"/>
      </rPr>
      <t>No online access during the exam.</t>
    </r>
  </si>
  <si>
    <t>13. You are required to work on the exam individually. Communication with other people (inside or outside this class) is prohibited.</t>
  </si>
  <si>
    <t>14. Any academic dishonestly will be reported to UCSD's Office of Academic Integrity and the total score of ZERO will be automatically given to this exam.</t>
  </si>
  <si>
    <t>After submitting the exam, do not touch, open, or re-save the file until further notice -- to preserve the time stamp.  In this way, if we cannot open your file, we will be able to retrieve it from your computer with the original time stamp.</t>
  </si>
  <si>
    <t>Total Revenue</t>
  </si>
  <si>
    <t>Cost of Revenue</t>
  </si>
  <si>
    <t>Research &amp; Development</t>
  </si>
  <si>
    <t>Operating Income</t>
  </si>
  <si>
    <t>Pretax Income</t>
  </si>
  <si>
    <t>Selling General and Admin</t>
  </si>
  <si>
    <t>Cash And Cash Equivalents</t>
  </si>
  <si>
    <t>Accounts receivable</t>
  </si>
  <si>
    <t>Total non-current assets</t>
  </si>
  <si>
    <t>Net PPE</t>
  </si>
  <si>
    <t>Gross PPE</t>
  </si>
  <si>
    <t>Accumulated Depreciation</t>
  </si>
  <si>
    <t>Goodwill And Other Intangible Assets</t>
  </si>
  <si>
    <t>Accounts Payable</t>
  </si>
  <si>
    <t>Tax Expense</t>
  </si>
  <si>
    <t>Interest Expense</t>
  </si>
  <si>
    <t>Short Term Investments</t>
  </si>
  <si>
    <t>Total Non Current Liabilities</t>
  </si>
  <si>
    <t>Retained Earnings</t>
  </si>
  <si>
    <t>Table 1 Selected Items from Financial Statements (Thousand US Dollars)</t>
  </si>
  <si>
    <r>
      <t xml:space="preserve">Compute the </t>
    </r>
    <r>
      <rPr>
        <b/>
        <sz val="12"/>
        <color theme="1"/>
        <rFont val="Aptos Narrow"/>
        <scheme val="minor"/>
      </rPr>
      <t>gross profit</t>
    </r>
    <r>
      <rPr>
        <sz val="12"/>
        <color theme="1"/>
        <rFont val="Aptos Narrow"/>
        <family val="2"/>
        <scheme val="minor"/>
      </rPr>
      <t xml:space="preserve"> of each year. Fill in the respective cells below Table 1.</t>
    </r>
  </si>
  <si>
    <r>
      <t xml:space="preserve">Compute the </t>
    </r>
    <r>
      <rPr>
        <b/>
        <sz val="12"/>
        <color theme="1"/>
        <rFont val="Aptos Narrow"/>
        <scheme val="minor"/>
      </rPr>
      <t>net income</t>
    </r>
    <r>
      <rPr>
        <sz val="12"/>
        <color theme="1"/>
        <rFont val="Aptos Narrow"/>
        <family val="2"/>
        <scheme val="minor"/>
      </rPr>
      <t xml:space="preserve"> of each year. Fill in the respective cells below Table 1.</t>
    </r>
  </si>
  <si>
    <t>Total Current Assets</t>
  </si>
  <si>
    <r>
      <t xml:space="preserve">Compute the </t>
    </r>
    <r>
      <rPr>
        <b/>
        <sz val="12"/>
        <color theme="1"/>
        <rFont val="Aptos Narrow"/>
        <scheme val="minor"/>
      </rPr>
      <t>total assets</t>
    </r>
    <r>
      <rPr>
        <sz val="12"/>
        <color theme="1"/>
        <rFont val="Aptos Narrow"/>
        <family val="2"/>
        <scheme val="minor"/>
      </rPr>
      <t xml:space="preserve"> of each year. Fill in the respective cells below Table 1.</t>
    </r>
  </si>
  <si>
    <r>
      <t xml:space="preserve">Compute the </t>
    </r>
    <r>
      <rPr>
        <b/>
        <sz val="12"/>
        <color theme="1"/>
        <rFont val="Aptos Narrow"/>
        <scheme val="minor"/>
      </rPr>
      <t>net property, plant, and equipment (net PPE)</t>
    </r>
    <r>
      <rPr>
        <sz val="12"/>
        <color theme="1"/>
        <rFont val="Aptos Narrow"/>
        <family val="2"/>
        <scheme val="minor"/>
      </rPr>
      <t xml:space="preserve"> of each year. Fill in the respective cells below Table 1.</t>
    </r>
  </si>
  <si>
    <t>Total Current Liabilities</t>
  </si>
  <si>
    <r>
      <t xml:space="preserve">Compute the </t>
    </r>
    <r>
      <rPr>
        <b/>
        <sz val="12"/>
        <color theme="1"/>
        <rFont val="Aptos Narrow"/>
        <scheme val="minor"/>
      </rPr>
      <t xml:space="preserve">total liabilities </t>
    </r>
    <r>
      <rPr>
        <sz val="12"/>
        <color theme="1"/>
        <rFont val="Aptos Narrow"/>
        <family val="2"/>
        <scheme val="minor"/>
      </rPr>
      <t>of each year. Fill in the respective cells below Table 1.</t>
    </r>
  </si>
  <si>
    <r>
      <t xml:space="preserve">Compute the </t>
    </r>
    <r>
      <rPr>
        <b/>
        <sz val="12"/>
        <color theme="1"/>
        <rFont val="Aptos Narrow"/>
        <scheme val="minor"/>
      </rPr>
      <t xml:space="preserve">total shareholder's equity </t>
    </r>
    <r>
      <rPr>
        <sz val="12"/>
        <color theme="1"/>
        <rFont val="Aptos Narrow"/>
        <family val="2"/>
        <scheme val="minor"/>
      </rPr>
      <t>of each year. Fill in the respective cells below Table 1.</t>
    </r>
  </si>
  <si>
    <r>
      <t xml:space="preserve">Compute the </t>
    </r>
    <r>
      <rPr>
        <b/>
        <sz val="12"/>
        <color theme="1"/>
        <rFont val="Aptos Narrow"/>
        <scheme val="minor"/>
      </rPr>
      <t>earnings before interest and taxes (EBIT)</t>
    </r>
    <r>
      <rPr>
        <sz val="12"/>
        <color theme="1"/>
        <rFont val="Aptos Narrow"/>
        <family val="2"/>
        <scheme val="minor"/>
      </rPr>
      <t xml:space="preserve"> of each year. Fill in the respective cells below Table 1.</t>
    </r>
  </si>
  <si>
    <t>EBIT</t>
  </si>
  <si>
    <r>
      <t xml:space="preserve">Compute the </t>
    </r>
    <r>
      <rPr>
        <b/>
        <sz val="12"/>
        <color theme="1"/>
        <rFont val="Aptos Narrow"/>
        <scheme val="minor"/>
      </rPr>
      <t>debt-to-equity ratio</t>
    </r>
    <r>
      <rPr>
        <sz val="12"/>
        <color theme="1"/>
        <rFont val="Aptos Narrow"/>
        <family val="2"/>
        <scheme val="minor"/>
      </rPr>
      <t xml:space="preserve"> of each year. Fill in the respective cells below Table 1.</t>
    </r>
  </si>
  <si>
    <t>Debt-to-equity ratio</t>
  </si>
  <si>
    <t>Total shareholder's equity</t>
  </si>
  <si>
    <r>
      <t xml:space="preserve">Compute the </t>
    </r>
    <r>
      <rPr>
        <b/>
        <sz val="12"/>
        <color theme="1"/>
        <rFont val="Aptos Narrow"/>
        <scheme val="minor"/>
      </rPr>
      <t>current ratio</t>
    </r>
    <r>
      <rPr>
        <sz val="12"/>
        <color theme="1"/>
        <rFont val="Aptos Narrow"/>
        <family val="2"/>
        <scheme val="minor"/>
      </rPr>
      <t xml:space="preserve"> of each year. Fill in the respective cells below Table 1.</t>
    </r>
  </si>
  <si>
    <t>Current ratio</t>
  </si>
  <si>
    <r>
      <t xml:space="preserve">Compute the </t>
    </r>
    <r>
      <rPr>
        <b/>
        <sz val="12"/>
        <color theme="1"/>
        <rFont val="Aptos Narrow"/>
        <scheme val="minor"/>
      </rPr>
      <t>interest coverage ratio</t>
    </r>
    <r>
      <rPr>
        <sz val="12"/>
        <color theme="1"/>
        <rFont val="Aptos Narrow"/>
        <family val="2"/>
        <scheme val="minor"/>
      </rPr>
      <t xml:space="preserve"> of each year. Fill in the respective cells below Table 1.</t>
    </r>
  </si>
  <si>
    <t>Interest coverage ratio</t>
  </si>
  <si>
    <t>Return on asset (ROA)</t>
  </si>
  <si>
    <t>Fill in the respective cells below Table 1.</t>
  </si>
  <si>
    <r>
      <t xml:space="preserve">Compute the </t>
    </r>
    <r>
      <rPr>
        <b/>
        <sz val="12"/>
        <color theme="1"/>
        <rFont val="Aptos Narrow"/>
        <scheme val="minor"/>
      </rPr>
      <t xml:space="preserve">return on asset (ROA) </t>
    </r>
    <r>
      <rPr>
        <sz val="12"/>
        <color theme="1"/>
        <rFont val="Aptos Narrow"/>
        <family val="2"/>
        <scheme val="minor"/>
      </rPr>
      <t xml:space="preserve">of each year (using the average total asset in the calculation). </t>
    </r>
  </si>
  <si>
    <r>
      <t xml:space="preserve">Compute the </t>
    </r>
    <r>
      <rPr>
        <b/>
        <sz val="12"/>
        <color theme="1"/>
        <rFont val="Aptos Narrow"/>
        <scheme val="minor"/>
      </rPr>
      <t xml:space="preserve">return on equity (ROE) </t>
    </r>
    <r>
      <rPr>
        <sz val="12"/>
        <color theme="1"/>
        <rFont val="Aptos Narrow"/>
        <family val="2"/>
        <scheme val="minor"/>
      </rPr>
      <t xml:space="preserve">of each year (using the average total equity in the calculation). </t>
    </r>
  </si>
  <si>
    <t>Return on equity (ROE)</t>
  </si>
  <si>
    <r>
      <t xml:space="preserve">Compute the </t>
    </r>
    <r>
      <rPr>
        <b/>
        <sz val="12"/>
        <color theme="1"/>
        <rFont val="Aptos Narrow"/>
        <scheme val="minor"/>
      </rPr>
      <t>asset turnover ratio</t>
    </r>
    <r>
      <rPr>
        <sz val="12"/>
        <color theme="1"/>
        <rFont val="Aptos Narrow"/>
        <family val="2"/>
        <scheme val="minor"/>
      </rPr>
      <t xml:space="preserve"> of each year. Fill in the respective cells below Table 1.</t>
    </r>
  </si>
  <si>
    <r>
      <t xml:space="preserve">Compute the </t>
    </r>
    <r>
      <rPr>
        <b/>
        <sz val="12"/>
        <color theme="1"/>
        <rFont val="Aptos Narrow"/>
        <scheme val="minor"/>
      </rPr>
      <t>net profit margin</t>
    </r>
    <r>
      <rPr>
        <sz val="12"/>
        <color theme="1"/>
        <rFont val="Aptos Narrow"/>
        <family val="2"/>
        <scheme val="minor"/>
      </rPr>
      <t xml:space="preserve"> of each year. Fill in the respective cells below Table 1.</t>
    </r>
  </si>
  <si>
    <t>Net profit margin</t>
  </si>
  <si>
    <r>
      <t xml:space="preserve">Compute the </t>
    </r>
    <r>
      <rPr>
        <b/>
        <sz val="12"/>
        <color theme="1"/>
        <rFont val="Aptos Narrow"/>
        <scheme val="minor"/>
      </rPr>
      <t>financial leverage ratio</t>
    </r>
    <r>
      <rPr>
        <sz val="12"/>
        <color theme="1"/>
        <rFont val="Aptos Narrow"/>
        <family val="2"/>
        <scheme val="minor"/>
      </rPr>
      <t xml:space="preserve"> of each year. Fill in the respective cells below Table 1.</t>
    </r>
  </si>
  <si>
    <t>Financial leverage ratio</t>
  </si>
  <si>
    <r>
      <t xml:space="preserve">Compute the </t>
    </r>
    <r>
      <rPr>
        <b/>
        <sz val="12"/>
        <color theme="1"/>
        <rFont val="Aptos Narrow"/>
        <scheme val="minor"/>
      </rPr>
      <t>inventory turnover ratio</t>
    </r>
    <r>
      <rPr>
        <sz val="12"/>
        <color theme="1"/>
        <rFont val="Aptos Narrow"/>
        <family val="2"/>
        <scheme val="minor"/>
      </rPr>
      <t xml:space="preserve"> of each year. Fill in the respective cells below Table 1.</t>
    </r>
  </si>
  <si>
    <r>
      <t xml:space="preserve">Compute the </t>
    </r>
    <r>
      <rPr>
        <b/>
        <sz val="12"/>
        <color theme="1"/>
        <rFont val="Aptos Narrow"/>
        <scheme val="minor"/>
      </rPr>
      <t>account receivable turnover ratio</t>
    </r>
    <r>
      <rPr>
        <sz val="12"/>
        <color theme="1"/>
        <rFont val="Aptos Narrow"/>
        <family val="2"/>
        <scheme val="minor"/>
      </rPr>
      <t xml:space="preserve"> of each year. Fill in the respective cells below Table 1.</t>
    </r>
  </si>
  <si>
    <r>
      <t xml:space="preserve">Compute the </t>
    </r>
    <r>
      <rPr>
        <b/>
        <sz val="12"/>
        <color theme="1"/>
        <rFont val="Aptos Narrow"/>
        <scheme val="minor"/>
      </rPr>
      <t>account payable turnover ratio</t>
    </r>
    <r>
      <rPr>
        <sz val="12"/>
        <color theme="1"/>
        <rFont val="Aptos Narrow"/>
        <family val="2"/>
        <scheme val="minor"/>
      </rPr>
      <t xml:space="preserve"> of each year. Fill in the respective cells below Table 1.</t>
    </r>
  </si>
  <si>
    <t>Inventory turnover ratio</t>
  </si>
  <si>
    <t>Account receivable turnover ratio</t>
  </si>
  <si>
    <t>Account payable turnover ratio</t>
  </si>
  <si>
    <r>
      <t xml:space="preserve">Compute the </t>
    </r>
    <r>
      <rPr>
        <b/>
        <sz val="12"/>
        <color theme="1"/>
        <rFont val="Aptos Narrow"/>
        <scheme val="minor"/>
      </rPr>
      <t>days</t>
    </r>
    <r>
      <rPr>
        <sz val="12"/>
        <color theme="1"/>
        <rFont val="Aptos Narrow"/>
        <family val="2"/>
        <scheme val="minor"/>
      </rPr>
      <t xml:space="preserve"> i</t>
    </r>
    <r>
      <rPr>
        <b/>
        <sz val="12"/>
        <color theme="1"/>
        <rFont val="Aptos Narrow"/>
        <scheme val="minor"/>
      </rPr>
      <t>nventory outstanding</t>
    </r>
    <r>
      <rPr>
        <sz val="12"/>
        <color theme="1"/>
        <rFont val="Aptos Narrow"/>
        <family val="2"/>
        <scheme val="minor"/>
      </rPr>
      <t xml:space="preserve"> of each year. Fill in the respective cells below Table 1.</t>
    </r>
  </si>
  <si>
    <r>
      <t xml:space="preserve">Compute the </t>
    </r>
    <r>
      <rPr>
        <b/>
        <sz val="12"/>
        <color theme="1"/>
        <rFont val="Aptos Narrow"/>
        <scheme val="minor"/>
      </rPr>
      <t>days sales outstanding</t>
    </r>
    <r>
      <rPr>
        <sz val="12"/>
        <color theme="1"/>
        <rFont val="Aptos Narrow"/>
        <family val="2"/>
        <scheme val="minor"/>
      </rPr>
      <t xml:space="preserve"> of each year. Fill in the respective cells below Table 1.</t>
    </r>
  </si>
  <si>
    <r>
      <t xml:space="preserve">Compute the </t>
    </r>
    <r>
      <rPr>
        <b/>
        <sz val="12"/>
        <color theme="1"/>
        <rFont val="Aptos Narrow"/>
        <scheme val="minor"/>
      </rPr>
      <t>days payable outstanding</t>
    </r>
    <r>
      <rPr>
        <sz val="12"/>
        <color theme="1"/>
        <rFont val="Aptos Narrow"/>
        <family val="2"/>
        <scheme val="minor"/>
      </rPr>
      <t xml:space="preserve"> of each year. Fill in the respective cells below Table 1.</t>
    </r>
  </si>
  <si>
    <t>Days inventory outstanding</t>
  </si>
  <si>
    <t>Days sales outstanding</t>
  </si>
  <si>
    <t>Days payable outstanding</t>
  </si>
  <si>
    <r>
      <t xml:space="preserve">Compute the </t>
    </r>
    <r>
      <rPr>
        <b/>
        <sz val="12"/>
        <color theme="1"/>
        <rFont val="Aptos Narrow"/>
        <scheme val="minor"/>
      </rPr>
      <t>cash conversion cycle</t>
    </r>
    <r>
      <rPr>
        <sz val="12"/>
        <color theme="1"/>
        <rFont val="Aptos Narrow"/>
        <family val="2"/>
        <scheme val="minor"/>
      </rPr>
      <t xml:space="preserve"> of each year. Fill in the respective cells below Table 1.</t>
    </r>
  </si>
  <si>
    <t>Cash conversion cycle</t>
  </si>
  <si>
    <t>What financial ratios provide supporting evidence to your answer?</t>
  </si>
  <si>
    <t>What is this company?</t>
  </si>
  <si>
    <t>(A) A cloud storage provider</t>
  </si>
  <si>
    <t>(B) A wearable camera producer</t>
  </si>
  <si>
    <t>(C) An online news media</t>
  </si>
  <si>
    <t>(D) A law firm</t>
  </si>
  <si>
    <t>Reason #1</t>
  </si>
  <si>
    <t>Reason #2</t>
  </si>
  <si>
    <t>Reason #3</t>
  </si>
  <si>
    <t>Land</t>
  </si>
  <si>
    <t>Balance Sheet as of:</t>
  </si>
  <si>
    <t>Plant, property, and equipment</t>
  </si>
  <si>
    <t>Other assets</t>
  </si>
  <si>
    <t>Long-term loans</t>
  </si>
  <si>
    <t>Total owner's equities</t>
  </si>
  <si>
    <t>Verify that total assets = total liabilities + total owner's equities</t>
  </si>
  <si>
    <t>Prepaid expense</t>
  </si>
  <si>
    <t>Account payables</t>
  </si>
  <si>
    <t>On Jan 1, the owners of "Macau &amp; Marko" contributed $2,000 of their money to the business.</t>
  </si>
  <si>
    <t>On March 19, "Macau &amp; Marko" pays the students the remaining $1,200 in cash.</t>
  </si>
  <si>
    <t>March 31</t>
  </si>
  <si>
    <t>On March 17, the students hired by "Macau &amp; Marko" perform the dragon dancing to the audience who purchased and paid for the tickets earlier.</t>
  </si>
  <si>
    <t>The financial situation is (choose one answer):</t>
  </si>
  <si>
    <t>On Feb 17, "Macau &amp; Marko" organizes a dragon dancing performance.  It sells tickets at the event and receives $3,000; all are paid in cash. It also hires 10 students from UC San Diego to perform a dragon dancing. The total cost of hiring is $1,000, which is paid in cash on this day. The performance takes place on this same day.</t>
  </si>
  <si>
    <t>On March 3, "Macau &amp; Marko" sells the tickets and receives $4,000 in cash. These tickets are for the dragon dancing performance that will take place later on March 17.</t>
  </si>
  <si>
    <t>On March 10, "Macau &amp; Marko" signs a contract to hire 12 students from UC San Diego to perform in the March 17 event. The total cost of hiring is $1,500. "Macau &amp; Marko" pays these students $300 in cash right after signing the contract. The remaining $1,200 will be paid 2 days after the performance is done.</t>
  </si>
  <si>
    <t>Other liabilities</t>
  </si>
  <si>
    <t>Is the ROE of this company more volatile than the ROA? Why or why not?</t>
  </si>
  <si>
    <t>Did the ROA of this company increase or decrease during 2022-2024?</t>
  </si>
  <si>
    <t>If it  decreased, was it from a decrease in profit margin per sales or from a decrease in the efficiency of asset utilization?</t>
  </si>
  <si>
    <t>If it increased, was it from an increasing profit margin per sales or from an increase in the efficiency of asset utilization?</t>
  </si>
  <si>
    <t xml:space="preserve">Did it take the company longer or shorter time to collect cash from its customers in 2024 when compared to 2022? </t>
  </si>
  <si>
    <t xml:space="preserve">Did it take the company longer or shorter time to pay cash to its suppliers in 2024 when compared to 2022? </t>
  </si>
  <si>
    <t>Did inventory stay in the company for a longer or shorter period of time in 2024 when compared to 2022?</t>
  </si>
  <si>
    <t>Did the company manage its working capital more or less efficiently in 2024 when compared to 2022?</t>
  </si>
  <si>
    <t>Did the company generate enough earnings to pay its interest expense in 2024? How about in 2022?</t>
  </si>
  <si>
    <t>(A) Improved</t>
  </si>
  <si>
    <t>(B) Deteriorated</t>
  </si>
  <si>
    <t>Exam Version: Gamma</t>
  </si>
  <si>
    <t>Date: 2/12/2026</t>
  </si>
  <si>
    <t>Defered Revenue</t>
  </si>
  <si>
    <t>Decrease</t>
  </si>
  <si>
    <t>COGS</t>
  </si>
  <si>
    <t>Revenue</t>
  </si>
  <si>
    <t xml:space="preserve">Retained Earnings </t>
  </si>
  <si>
    <t>Prepaid Expense</t>
  </si>
  <si>
    <t>GP = Net Sales - COGS</t>
  </si>
  <si>
    <t>NI = EBT - Taxes</t>
  </si>
  <si>
    <t>SE = Retained Earnings + Contributed Capital</t>
  </si>
  <si>
    <t>Net PPE = PPE Gross - PPE Cost (accumulated depreciation)</t>
  </si>
  <si>
    <t>EBIT = Pretax income</t>
  </si>
  <si>
    <t>Debt to Equity Ratio = Total Liabilities / Total Equity</t>
  </si>
  <si>
    <t>Current Ratio = Current Assets / Current Liabilities</t>
  </si>
  <si>
    <t>Interest Coverage Ratio = EBIT / Interest Expense</t>
  </si>
  <si>
    <t>ROA_t = Net Income_t / Average Total Assets_t</t>
  </si>
  <si>
    <t>Average Total Assets_t = (Total Assets_{t-1} + Total Assets_t) / 2</t>
  </si>
  <si>
    <t>ROE = Net Income / Total Equity</t>
  </si>
  <si>
    <t>Asset Turnover Ratio = Net Sales / Total Assets</t>
  </si>
  <si>
    <t>Net Profit Margin = Net Income / Net Sales</t>
  </si>
  <si>
    <t>Inventory Turnover = COGS / Average Inventory</t>
  </si>
  <si>
    <t>Financial Leverage Ratio = Total Non Current Liabilites/ Total Non Current Assets</t>
  </si>
  <si>
    <t>AR Turnover = Net Sales / Average Accounts Receivable</t>
  </si>
  <si>
    <t>AP Turnover = Purchases / Average Accounts Payable</t>
  </si>
  <si>
    <t>DIO = 365 / Inventory Turnover</t>
  </si>
  <si>
    <t>DSO = 365 / AR Turnover</t>
  </si>
  <si>
    <r>
      <t xml:space="preserve">Cash Conversion Cycle = DIO + DSO </t>
    </r>
    <r>
      <rPr>
        <sz val="11"/>
        <color rgb="FF000000"/>
        <rFont val="Symbol"/>
        <charset val="2"/>
      </rPr>
      <t>−</t>
    </r>
    <r>
      <rPr>
        <i/>
        <sz val="11"/>
        <color rgb="FF000000"/>
        <rFont val="Times"/>
      </rPr>
      <t xml:space="preserve"> DPO</t>
    </r>
  </si>
  <si>
    <t xml:space="preserve">The ROE is more volatile than ROA. The ROE has followed the trend however has reacted more sharply. </t>
  </si>
  <si>
    <t>The ROA decreased between 2022 and 2024</t>
  </si>
  <si>
    <r>
      <t xml:space="preserve">This was due to a </t>
    </r>
    <r>
      <rPr>
        <b/>
        <sz val="12"/>
        <color rgb="FF1F1F1F"/>
        <rFont val="Aptos Narrow"/>
        <scheme val="minor"/>
      </rPr>
      <t>decreasing</t>
    </r>
    <r>
      <rPr>
        <sz val="12"/>
        <color rgb="FF1F1F1F"/>
        <rFont val="Aptos Narrow"/>
        <scheme val="minor"/>
      </rPr>
      <t xml:space="preserve"> net profit margin, the firm went from a </t>
    </r>
    <r>
      <rPr>
        <b/>
        <sz val="12"/>
        <color rgb="FF1F1F1F"/>
        <rFont val="Aptos Narrow"/>
        <scheme val="minor"/>
      </rPr>
      <t>net profit margin</t>
    </r>
    <r>
      <rPr>
        <sz val="12"/>
        <color rgb="FF1F1F1F"/>
        <rFont val="Aptos Narrow"/>
        <scheme val="minor"/>
      </rPr>
      <t xml:space="preserve"> of 0.071 to -0.164. Effectively losing 16cents per dollar sold </t>
    </r>
  </si>
  <si>
    <t>Looking at the Net Profit Margin it is clear that the decreasing ROA was as a result of negative profit margins for the firm</t>
  </si>
  <si>
    <r>
      <t xml:space="preserve">The Company took a </t>
    </r>
    <r>
      <rPr>
        <b/>
        <sz val="12"/>
        <color rgb="FF1F1F1F"/>
        <rFont val="Aptos Narrow"/>
        <scheme val="minor"/>
      </rPr>
      <t>shorter time to collect cash</t>
    </r>
    <r>
      <rPr>
        <sz val="12"/>
        <color rgb="FF1F1F1F"/>
        <rFont val="Aptos Narrow"/>
        <scheme val="minor"/>
      </rPr>
      <t xml:space="preserve"> from its customers in 2024 (ARTR = 3.059)  when compared to 2022 (ARTR = 4.255)</t>
    </r>
  </si>
  <si>
    <t xml:space="preserve"> </t>
  </si>
  <si>
    <t>Purchases = Invetory end - start/ cogs</t>
  </si>
  <si>
    <t>DPO = 365 / Accounts Payable Turnover Ratio</t>
  </si>
  <si>
    <r>
      <t xml:space="preserve">The company took a </t>
    </r>
    <r>
      <rPr>
        <b/>
        <sz val="12"/>
        <color rgb="FF1F1F1F"/>
        <rFont val="Aptos Narrow"/>
        <scheme val="minor"/>
      </rPr>
      <t>longer time  to pay cash</t>
    </r>
    <r>
      <rPr>
        <sz val="12"/>
        <color rgb="FF1F1F1F"/>
        <rFont val="Aptos Narrow"/>
        <scheme val="minor"/>
      </rPr>
      <t xml:space="preserve"> to its suppliers in 2024 (DPO = 2381.3) when compared to 2022 (DPO = 1179)</t>
    </r>
  </si>
  <si>
    <r>
      <t xml:space="preserve">The inventory stayed </t>
    </r>
    <r>
      <rPr>
        <b/>
        <sz val="12"/>
        <color rgb="FF1F1F1F"/>
        <rFont val="Arial"/>
        <family val="2"/>
      </rPr>
      <t>longer</t>
    </r>
    <r>
      <rPr>
        <sz val="12"/>
        <color rgb="FF1F1F1F"/>
        <rFont val="Arial"/>
        <family val="2"/>
      </rPr>
      <t xml:space="preserve"> from 56.8 days to 78.1 days looking at the DPO</t>
    </r>
  </si>
  <si>
    <t>The company managed its working capital more effectively as its CCC was lower at -2183.8 vs -1037</t>
  </si>
  <si>
    <t>The company did not generate enough earnings to pay interest expeses in 2024. It did in 2022</t>
  </si>
  <si>
    <t>While its CCC is elongating, this may be due to a shortening of avaiable cash forcing the  firm to elongate their pay time scales. Indicating weak revenue.</t>
  </si>
  <si>
    <t>The company failed to pay its interest expenses in the year of 2024, indicating financial uncertainty or collapse</t>
  </si>
  <si>
    <t>Net profit margins are consistently on the decline and went negative after 2022, forcasting the company to keep losing money unless they are able to bring a more profitable product line.</t>
  </si>
  <si>
    <t>Strong R&amp;D, Sizeable Inventory, and Medium SG&amp;A</t>
  </si>
  <si>
    <t>Name: Edgar Agunias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</si>
</sst>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
    <numFmt numFmtId="166" formatCode="0.0"/>
  </numFmts>
  <fonts count="28">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scheme val="minor"/>
    </font>
    <font>
      <sz val="12"/>
      <color theme="1"/>
      <name val="Aptos Narrow"/>
      <scheme val="minor"/>
    </font>
    <font>
      <b/>
      <sz val="30"/>
      <color rgb="FF182B49"/>
      <name val="Aptos Narrow"/>
      <family val="2"/>
      <scheme val="minor"/>
    </font>
    <font>
      <sz val="30"/>
      <color theme="1"/>
      <name val="Aptos Narrow"/>
      <family val="2"/>
      <scheme val="minor"/>
    </font>
    <font>
      <sz val="30"/>
      <color rgb="FF182B49"/>
      <name val="Aptos Narrow"/>
      <family val="2"/>
      <scheme val="minor"/>
    </font>
    <font>
      <sz val="30"/>
      <color rgb="FF182B49"/>
      <name val="Arial"/>
      <family val="2"/>
    </font>
    <font>
      <u/>
      <sz val="30"/>
      <color rgb="FF182B49"/>
      <name val="Aptos Narrow"/>
      <family val="2"/>
      <scheme val="minor"/>
    </font>
    <font>
      <b/>
      <sz val="12"/>
      <color rgb="FF182B49"/>
      <name val="Aptos Narrow"/>
      <family val="2"/>
      <scheme val="minor"/>
    </font>
    <font>
      <b/>
      <sz val="12"/>
      <color rgb="FF000000"/>
      <name val="Aptos Narrow"/>
      <family val="2"/>
      <scheme val="minor"/>
    </font>
    <font>
      <sz val="12"/>
      <color rgb="FF000000"/>
      <name val="Aptos Narrow"/>
      <family val="2"/>
      <scheme val="minor"/>
    </font>
    <font>
      <b/>
      <sz val="12"/>
      <color rgb="FF948A54"/>
      <name val="Aptos Narrow"/>
      <family val="2"/>
      <scheme val="minor"/>
    </font>
    <font>
      <sz val="12"/>
      <color rgb="FF182B49"/>
      <name val="Aptos Narrow"/>
      <family val="2"/>
      <scheme val="minor"/>
    </font>
    <font>
      <sz val="12"/>
      <name val="Aptos Narrow"/>
      <family val="2"/>
      <scheme val="minor"/>
    </font>
    <font>
      <b/>
      <u/>
      <sz val="12"/>
      <color rgb="FF182B49"/>
      <name val="Calibri (Body)"/>
    </font>
    <font>
      <b/>
      <sz val="12"/>
      <name val="Aptos Narrow"/>
      <family val="2"/>
      <scheme val="minor"/>
    </font>
    <font>
      <b/>
      <sz val="12"/>
      <color rgb="FFE26B0A"/>
      <name val="Aptos Narrow"/>
      <family val="2"/>
      <scheme val="minor"/>
    </font>
    <font>
      <sz val="12"/>
      <color rgb="FF1F1F1F"/>
      <name val="Arial"/>
      <family val="2"/>
    </font>
    <font>
      <sz val="8"/>
      <name val="Aptos Narrow"/>
      <family val="2"/>
      <scheme val="minor"/>
    </font>
    <font>
      <sz val="12"/>
      <color rgb="FF1F1F1F"/>
      <name val="Aptos Narrow"/>
      <scheme val="minor"/>
    </font>
    <font>
      <i/>
      <sz val="11"/>
      <color rgb="FF000000"/>
      <name val="Times"/>
    </font>
    <font>
      <i/>
      <sz val="12"/>
      <color theme="1"/>
      <name val="Aptos Narrow"/>
      <family val="2"/>
      <scheme val="minor"/>
    </font>
    <font>
      <sz val="11"/>
      <color rgb="FF000000"/>
      <name val="Symbol"/>
      <charset val="2"/>
    </font>
    <font>
      <b/>
      <sz val="12"/>
      <color rgb="FF1F1F1F"/>
      <name val="Aptos Narrow"/>
      <scheme val="minor"/>
    </font>
    <font>
      <i/>
      <sz val="13"/>
      <color rgb="FF000000"/>
      <name val="Times"/>
    </font>
    <font>
      <b/>
      <sz val="12"/>
      <color rgb="FF1F1F1F"/>
      <name val="Arial"/>
      <family val="2"/>
    </font>
  </fonts>
  <fills count="31">
    <fill>
      <patternFill patternType="none"/>
    </fill>
    <fill>
      <patternFill patternType="gray125"/>
    </fill>
    <fill>
      <patternFill patternType="solid">
        <fgColor theme="4" tint="0.39997558519241921"/>
        <bgColor indexed="64"/>
      </patternFill>
    </fill>
    <fill>
      <patternFill patternType="solid">
        <fgColor rgb="FF76D6FF"/>
        <bgColor indexed="64"/>
      </patternFill>
    </fill>
    <fill>
      <patternFill patternType="solid">
        <fgColor rgb="FF73FDD6"/>
        <bgColor indexed="64"/>
      </patternFill>
    </fill>
    <fill>
      <patternFill patternType="solid">
        <fgColor rgb="FF73FB79"/>
        <bgColor indexed="64"/>
      </patternFill>
    </fill>
    <fill>
      <patternFill patternType="solid">
        <fgColor rgb="FFD5FC79"/>
        <bgColor indexed="64"/>
      </patternFill>
    </fill>
    <fill>
      <patternFill patternType="solid">
        <fgColor rgb="FFFFFD78"/>
        <bgColor indexed="64"/>
      </patternFill>
    </fill>
    <fill>
      <patternFill patternType="solid">
        <fgColor rgb="FFFFD579"/>
        <bgColor indexed="64"/>
      </patternFill>
    </fill>
    <fill>
      <patternFill patternType="solid">
        <fgColor rgb="FFFF2F92"/>
        <bgColor indexed="64"/>
      </patternFill>
    </fill>
    <fill>
      <patternFill patternType="solid">
        <fgColor rgb="FFFF97CA"/>
        <bgColor indexed="64"/>
      </patternFill>
    </fill>
    <fill>
      <patternFill patternType="solid">
        <fgColor rgb="FFFF40FF"/>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73FEFF"/>
        <bgColor indexed="64"/>
      </patternFill>
    </fill>
    <fill>
      <patternFill patternType="solid">
        <fgColor rgb="FF7A81FF"/>
        <bgColor indexed="64"/>
      </patternFill>
    </fill>
    <fill>
      <patternFill patternType="solid">
        <fgColor rgb="FFD883FF"/>
        <bgColor indexed="64"/>
      </patternFill>
    </fill>
    <fill>
      <patternFill patternType="solid">
        <fgColor rgb="FFFF85FF"/>
        <bgColor indexed="64"/>
      </patternFill>
    </fill>
    <fill>
      <patternFill patternType="solid">
        <fgColor rgb="FFFF8AD8"/>
        <bgColor indexed="64"/>
      </patternFill>
    </fill>
    <fill>
      <patternFill patternType="solid">
        <fgColor rgb="FFEAFC61"/>
        <bgColor indexed="64"/>
      </patternFill>
    </fill>
    <fill>
      <patternFill patternType="solid">
        <fgColor rgb="FFF5F0E6"/>
        <bgColor indexed="64"/>
      </patternFill>
    </fill>
    <fill>
      <patternFill patternType="solid">
        <fgColor rgb="FFE3C98A"/>
        <bgColor rgb="FF000000"/>
      </patternFill>
    </fill>
    <fill>
      <patternFill patternType="solid">
        <fgColor rgb="FFDBD8D4"/>
        <bgColor rgb="FF000000"/>
      </patternFill>
    </fill>
    <fill>
      <patternFill patternType="solid">
        <fgColor rgb="FFF5F0E6"/>
        <bgColor rgb="FF000000"/>
      </patternFill>
    </fill>
    <fill>
      <patternFill patternType="solid">
        <fgColor theme="0" tint="-0.499984740745262"/>
        <bgColor indexed="64"/>
      </patternFill>
    </fill>
    <fill>
      <patternFill patternType="solid">
        <fgColor theme="7" tint="0.39997558519241921"/>
        <bgColor indexed="64"/>
      </patternFill>
    </fill>
    <fill>
      <patternFill patternType="solid">
        <fgColor rgb="FF0096FF"/>
        <bgColor indexed="64"/>
      </patternFill>
    </fill>
  </fills>
  <borders count="2">
    <border>
      <left/>
      <right/>
      <top/>
      <bottom/>
      <diagonal/>
    </border>
    <border>
      <left style="thin">
        <color auto="1"/>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95">
    <xf numFmtId="0" fontId="0" fillId="0" borderId="0" xfId="0"/>
    <xf numFmtId="0" fontId="2" fillId="0" borderId="0" xfId="0" applyFont="1"/>
    <xf numFmtId="0" fontId="3" fillId="2" borderId="0" xfId="0" applyFont="1" applyFill="1"/>
    <xf numFmtId="0" fontId="3" fillId="2" borderId="0" xfId="0" applyFont="1" applyFill="1" applyAlignment="1">
      <alignment horizontal="center" vertical="top"/>
    </xf>
    <xf numFmtId="0" fontId="0" fillId="4" borderId="0" xfId="0" applyFill="1" applyAlignment="1">
      <alignment vertical="top"/>
    </xf>
    <xf numFmtId="0" fontId="0" fillId="5" borderId="0" xfId="0" applyFill="1" applyAlignment="1">
      <alignment vertical="top"/>
    </xf>
    <xf numFmtId="1" fontId="0" fillId="6" borderId="0" xfId="0" applyNumberFormat="1" applyFill="1" applyAlignment="1">
      <alignment vertical="top"/>
    </xf>
    <xf numFmtId="0" fontId="0" fillId="7" borderId="0" xfId="0" applyFill="1" applyAlignment="1">
      <alignment vertical="top"/>
    </xf>
    <xf numFmtId="0" fontId="0" fillId="8" borderId="0" xfId="0" applyFill="1" applyAlignment="1">
      <alignment vertical="top"/>
    </xf>
    <xf numFmtId="0" fontId="0" fillId="9" borderId="0" xfId="0" applyFill="1" applyAlignment="1">
      <alignment vertical="top"/>
    </xf>
    <xf numFmtId="0" fontId="0" fillId="10" borderId="0" xfId="0" applyFill="1" applyAlignment="1">
      <alignment vertical="top"/>
    </xf>
    <xf numFmtId="0" fontId="0" fillId="11" borderId="0" xfId="0" applyFill="1" applyAlignment="1">
      <alignment vertical="top"/>
    </xf>
    <xf numFmtId="0" fontId="0" fillId="13" borderId="0" xfId="0" applyFill="1"/>
    <xf numFmtId="0" fontId="0" fillId="0" borderId="0" xfId="0" applyAlignment="1">
      <alignment vertical="top"/>
    </xf>
    <xf numFmtId="0" fontId="0" fillId="12" borderId="0" xfId="0" applyFill="1"/>
    <xf numFmtId="0" fontId="0" fillId="14" borderId="0" xfId="0" applyFill="1"/>
    <xf numFmtId="0" fontId="0" fillId="15" borderId="0" xfId="0" applyFill="1"/>
    <xf numFmtId="0" fontId="0" fillId="16" borderId="0" xfId="0" applyFill="1" applyAlignment="1">
      <alignment vertical="top"/>
    </xf>
    <xf numFmtId="0" fontId="0" fillId="17" borderId="0" xfId="0" applyFill="1"/>
    <xf numFmtId="0" fontId="0" fillId="7" borderId="0" xfId="0" applyFill="1"/>
    <xf numFmtId="0" fontId="0" fillId="6" borderId="0" xfId="0" applyFill="1"/>
    <xf numFmtId="0" fontId="0" fillId="5" borderId="0" xfId="0" applyFill="1"/>
    <xf numFmtId="0" fontId="0" fillId="4" borderId="0" xfId="0" applyFill="1"/>
    <xf numFmtId="0" fontId="0" fillId="18" borderId="0" xfId="0" applyFill="1"/>
    <xf numFmtId="0" fontId="0" fillId="3" borderId="0" xfId="0" applyFill="1"/>
    <xf numFmtId="0" fontId="0" fillId="19" borderId="0" xfId="0" applyFill="1"/>
    <xf numFmtId="0" fontId="0" fillId="20" borderId="0" xfId="0" applyFill="1"/>
    <xf numFmtId="0" fontId="0" fillId="21" borderId="0" xfId="0" applyFill="1"/>
    <xf numFmtId="0" fontId="0" fillId="22" borderId="0" xfId="0" applyFill="1"/>
    <xf numFmtId="0" fontId="2" fillId="10" borderId="0" xfId="0" applyFont="1" applyFill="1" applyAlignment="1">
      <alignment horizontal="center" vertical="top"/>
    </xf>
    <xf numFmtId="164" fontId="2" fillId="10" borderId="0" xfId="2" applyNumberFormat="1" applyFont="1" applyFill="1" applyAlignment="1">
      <alignment horizontal="center" vertical="top"/>
    </xf>
    <xf numFmtId="0" fontId="2" fillId="8" borderId="0" xfId="0" applyFont="1" applyFill="1" applyAlignment="1">
      <alignment horizontal="center" vertical="top"/>
    </xf>
    <xf numFmtId="3" fontId="2" fillId="8" borderId="0" xfId="0" applyNumberFormat="1" applyFont="1" applyFill="1" applyAlignment="1">
      <alignment horizontal="center" vertical="top"/>
    </xf>
    <xf numFmtId="0" fontId="2" fillId="23" borderId="0" xfId="0" applyFont="1" applyFill="1" applyAlignment="1">
      <alignment horizontal="center" vertical="top"/>
    </xf>
    <xf numFmtId="164" fontId="2" fillId="23" borderId="0" xfId="2" applyNumberFormat="1" applyFont="1" applyFill="1" applyAlignment="1">
      <alignment horizontal="center" vertical="top"/>
    </xf>
    <xf numFmtId="0" fontId="0" fillId="0" borderId="0" xfId="0" applyAlignment="1">
      <alignment vertical="center" wrapText="1"/>
    </xf>
    <xf numFmtId="0" fontId="0" fillId="0" borderId="0" xfId="0" applyAlignment="1">
      <alignment vertical="center"/>
    </xf>
    <xf numFmtId="0" fontId="0" fillId="6" borderId="0" xfId="0" applyFill="1" applyAlignment="1">
      <alignment vertical="top"/>
    </xf>
    <xf numFmtId="3" fontId="0" fillId="0" borderId="0" xfId="0" applyNumberFormat="1" applyAlignment="1">
      <alignment vertical="center"/>
    </xf>
    <xf numFmtId="0" fontId="0" fillId="19" borderId="0" xfId="0" applyFill="1" applyAlignment="1">
      <alignment vertical="top"/>
    </xf>
    <xf numFmtId="0" fontId="0" fillId="0" borderId="0" xfId="0" applyAlignment="1">
      <alignment vertical="top" wrapText="1"/>
    </xf>
    <xf numFmtId="0" fontId="5" fillId="24" borderId="0" xfId="0" applyFont="1" applyFill="1"/>
    <xf numFmtId="0" fontId="6" fillId="0" borderId="0" xfId="0" applyFont="1"/>
    <xf numFmtId="0" fontId="7" fillId="24" borderId="0" xfId="0" applyFont="1" applyFill="1"/>
    <xf numFmtId="0" fontId="8" fillId="24" borderId="0" xfId="0" applyFont="1" applyFill="1" applyAlignment="1">
      <alignment wrapText="1"/>
    </xf>
    <xf numFmtId="0" fontId="9" fillId="24" borderId="0" xfId="0" applyFont="1" applyFill="1"/>
    <xf numFmtId="0" fontId="10" fillId="25" borderId="0" xfId="0" applyFont="1" applyFill="1"/>
    <xf numFmtId="0" fontId="11" fillId="0" borderId="0" xfId="0" applyFont="1"/>
    <xf numFmtId="0" fontId="12" fillId="0" borderId="0" xfId="0" applyFont="1"/>
    <xf numFmtId="0" fontId="10" fillId="26" borderId="0" xfId="0" applyFont="1" applyFill="1"/>
    <xf numFmtId="0" fontId="10" fillId="27" borderId="0" xfId="0" applyFont="1" applyFill="1"/>
    <xf numFmtId="0" fontId="13" fillId="0" borderId="0" xfId="0" applyFont="1"/>
    <xf numFmtId="0" fontId="14" fillId="27" borderId="0" xfId="0" applyFont="1" applyFill="1"/>
    <xf numFmtId="0" fontId="14" fillId="27" borderId="1" xfId="0" applyFont="1" applyFill="1" applyBorder="1"/>
    <xf numFmtId="0" fontId="15" fillId="0" borderId="0" xfId="0" applyFont="1"/>
    <xf numFmtId="0" fontId="14" fillId="27" borderId="1" xfId="0" applyFont="1" applyFill="1" applyBorder="1" applyAlignment="1">
      <alignment horizontal="left"/>
    </xf>
    <xf numFmtId="0" fontId="15" fillId="0" borderId="0" xfId="0" applyFont="1" applyAlignment="1">
      <alignment horizontal="left"/>
    </xf>
    <xf numFmtId="0" fontId="17" fillId="0" borderId="0" xfId="0" applyFont="1"/>
    <xf numFmtId="0" fontId="10" fillId="27" borderId="1" xfId="0" applyFont="1" applyFill="1" applyBorder="1"/>
    <xf numFmtId="0" fontId="18" fillId="0" borderId="0" xfId="0" applyFont="1"/>
    <xf numFmtId="0" fontId="2" fillId="0" borderId="0" xfId="0" applyFont="1" applyAlignment="1">
      <alignment wrapText="1"/>
    </xf>
    <xf numFmtId="0" fontId="0" fillId="3" borderId="0" xfId="0" applyFill="1" applyAlignment="1">
      <alignment horizontal="right" vertical="top"/>
    </xf>
    <xf numFmtId="164" fontId="0" fillId="0" borderId="0" xfId="1" applyNumberFormat="1" applyFont="1" applyAlignment="1">
      <alignment vertical="center"/>
    </xf>
    <xf numFmtId="0" fontId="0" fillId="0" borderId="0" xfId="0" applyAlignment="1">
      <alignment horizontal="left" vertical="top"/>
    </xf>
    <xf numFmtId="0" fontId="2" fillId="29" borderId="0" xfId="0" applyFont="1" applyFill="1"/>
    <xf numFmtId="0" fontId="0" fillId="20" borderId="0" xfId="0" applyFill="1" applyAlignment="1">
      <alignment vertical="top"/>
    </xf>
    <xf numFmtId="0" fontId="0" fillId="3" borderId="0" xfId="0" applyFill="1" applyAlignment="1">
      <alignment vertical="top"/>
    </xf>
    <xf numFmtId="0" fontId="0" fillId="30" borderId="0" xfId="0" applyFill="1" applyAlignment="1">
      <alignment vertical="top"/>
    </xf>
    <xf numFmtId="0" fontId="0" fillId="0" borderId="0" xfId="0" applyAlignment="1">
      <alignment horizontal="left" vertical="center"/>
    </xf>
    <xf numFmtId="49" fontId="2" fillId="29" borderId="0" xfId="0" applyNumberFormat="1" applyFont="1" applyFill="1" applyAlignment="1">
      <alignment horizontal="center"/>
    </xf>
    <xf numFmtId="3" fontId="0" fillId="20" borderId="0" xfId="1" applyNumberFormat="1" applyFont="1" applyFill="1"/>
    <xf numFmtId="3" fontId="0" fillId="19" borderId="0" xfId="1" applyNumberFormat="1" applyFont="1" applyFill="1"/>
    <xf numFmtId="3" fontId="0" fillId="3" borderId="0" xfId="1" applyNumberFormat="1" applyFont="1" applyFill="1"/>
    <xf numFmtId="0" fontId="21" fillId="0" borderId="0" xfId="0" applyFont="1"/>
    <xf numFmtId="3" fontId="21" fillId="0" borderId="0" xfId="0" applyNumberFormat="1" applyFont="1"/>
    <xf numFmtId="0" fontId="4" fillId="0" borderId="0" xfId="0" applyFont="1"/>
    <xf numFmtId="3" fontId="4" fillId="0" borderId="0" xfId="0" applyNumberFormat="1" applyFont="1"/>
    <xf numFmtId="2" fontId="4" fillId="0" borderId="0" xfId="0" applyNumberFormat="1" applyFont="1"/>
    <xf numFmtId="165" fontId="4" fillId="0" borderId="0" xfId="0" applyNumberFormat="1" applyFont="1"/>
    <xf numFmtId="0" fontId="4" fillId="28" borderId="0" xfId="0" applyFont="1" applyFill="1"/>
    <xf numFmtId="166" fontId="4" fillId="0" borderId="0" xfId="0" applyNumberFormat="1" applyFont="1"/>
    <xf numFmtId="0" fontId="19" fillId="0" borderId="0" xfId="0" applyFont="1"/>
    <xf numFmtId="1" fontId="0" fillId="0" borderId="0" xfId="0" applyNumberFormat="1" applyAlignment="1">
      <alignment vertical="top"/>
    </xf>
    <xf numFmtId="0" fontId="0" fillId="0" borderId="0" xfId="0" applyAlignment="1">
      <alignment horizontal="center"/>
    </xf>
    <xf numFmtId="0" fontId="3" fillId="0" borderId="0" xfId="0" applyFont="1"/>
    <xf numFmtId="3" fontId="0" fillId="0" borderId="0" xfId="0" applyNumberFormat="1"/>
    <xf numFmtId="0" fontId="22" fillId="0" borderId="0" xfId="0" applyFont="1"/>
    <xf numFmtId="0" fontId="23" fillId="0" borderId="0" xfId="0" applyFont="1"/>
    <xf numFmtId="0" fontId="26" fillId="0" borderId="0" xfId="0" applyFont="1"/>
    <xf numFmtId="0" fontId="10" fillId="25" borderId="1" xfId="0" applyFont="1" applyFill="1" applyBorder="1" applyAlignment="1">
      <alignment horizontal="left" vertical="center" wrapText="1"/>
    </xf>
    <xf numFmtId="0" fontId="0" fillId="0" borderId="0" xfId="0" applyAlignment="1">
      <alignment vertical="top" wrapText="1"/>
    </xf>
    <xf numFmtId="0" fontId="2" fillId="10" borderId="0" xfId="0" applyFont="1" applyFill="1" applyAlignment="1">
      <alignment horizontal="center" vertical="center"/>
    </xf>
    <xf numFmtId="0" fontId="2" fillId="8" borderId="0" xfId="0" applyFont="1" applyFill="1" applyAlignment="1">
      <alignment horizontal="center" vertical="center"/>
    </xf>
    <xf numFmtId="0" fontId="2" fillId="23" borderId="0" xfId="0" applyFont="1" applyFill="1" applyAlignment="1">
      <alignment horizontal="center" vertical="center"/>
    </xf>
    <xf numFmtId="0" fontId="0" fillId="0" borderId="0" xfId="0" applyAlignment="1">
      <alignment horizontal="left" vertical="top" wrapText="1"/>
    </xf>
  </cellXfs>
  <cellStyles count="3">
    <cellStyle name="Comma" xfId="1" builtinId="3"/>
    <cellStyle name="Comma 2 2" xfId="2" xr:uid="{DF7931B9-263A-E84F-B639-59DFBBCC5745}"/>
    <cellStyle name="Normal" xfId="0" builtinId="0"/>
  </cellStyles>
  <dxfs count="0"/>
  <tableStyles count="0" defaultTableStyle="TableStyleMedium2" defaultPivotStyle="PivotStyleLight16"/>
  <colors>
    <mruColors>
      <color rgb="FFFF8AD8"/>
      <color rgb="FFFF85FF"/>
      <color rgb="FFD883FF"/>
      <color rgb="FF7A81FF"/>
      <color rgb="FF76D6FF"/>
      <color rgb="FF73FEFF"/>
      <color rgb="FF73FDD6"/>
      <color rgb="FF73FB79"/>
      <color rgb="FFD5FC79"/>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1234615" cy="2881922"/>
    <xdr:sp macro="" textlink="">
      <xdr:nvSpPr>
        <xdr:cNvPr id="2" name="TextBox 1">
          <a:extLst>
            <a:ext uri="{FF2B5EF4-FFF2-40B4-BE49-F238E27FC236}">
              <a16:creationId xmlns:a16="http://schemas.microsoft.com/office/drawing/2014/main" id="{20A568E5-C1C2-9C46-898C-D542C782F817}"/>
            </a:ext>
          </a:extLst>
        </xdr:cNvPr>
        <xdr:cNvSpPr txBox="1"/>
      </xdr:nvSpPr>
      <xdr:spPr>
        <a:xfrm>
          <a:off x="0" y="0"/>
          <a:ext cx="11234615" cy="2881922"/>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"Macau &amp; Marko" - A Performance Company</a:t>
          </a:r>
        </a:p>
        <a:p>
          <a:endParaRPr lang="en-US" sz="1200" b="0" baseline="0"/>
        </a:p>
        <a:p>
          <a:r>
            <a:rPr lang="en-US" sz="1200" b="0" baseline="0"/>
            <a:t>Your friend, Marko Lee,  and his brothers are setting up a company called "Macau &amp; Marko". This business organizes a dragon dancing performance for clients in the San Diego area. You are helping them create financial statements and analyze the financial situation of the business.</a:t>
          </a:r>
        </a:p>
        <a:p>
          <a:endParaRPr lang="en-US" sz="1200" b="0" baseline="0"/>
        </a:p>
        <a:p>
          <a:r>
            <a:rPr lang="en-US" sz="1200" b="1" baseline="0"/>
            <a:t>Part 1: Recording Transaction</a:t>
          </a:r>
        </a:p>
        <a:p>
          <a:endParaRPr lang="en-US" sz="1200" b="0" baseline="0"/>
        </a:p>
        <a:p>
          <a:r>
            <a:rPr lang="en-US" sz="1200" b="0"/>
            <a:t>For each transaction, identify how it affects each of the accounting items in the balance sheet. Answer INCREASE if the transaction adds value to the item. Answer DECREASE if the transaction substracts value from the item.</a:t>
          </a:r>
        </a:p>
        <a:p>
          <a:endParaRPr lang="en-US" sz="1200" b="0" baseline="0"/>
        </a:p>
        <a:p>
          <a:r>
            <a:rPr lang="en-US" sz="1200" b="1" baseline="0"/>
            <a:t>CSA</a:t>
          </a:r>
        </a:p>
      </xdr:txBody>
    </xdr:sp>
    <xdr:clientData/>
  </xdr:oneCellAnchor>
  <xdr:oneCellAnchor>
    <xdr:from>
      <xdr:col>0</xdr:col>
      <xdr:colOff>0</xdr:colOff>
      <xdr:row>31</xdr:row>
      <xdr:rowOff>0</xdr:rowOff>
    </xdr:from>
    <xdr:ext cx="12934462" cy="830384"/>
    <xdr:sp macro="" textlink="">
      <xdr:nvSpPr>
        <xdr:cNvPr id="3" name="TextBox 2">
          <a:extLst>
            <a:ext uri="{FF2B5EF4-FFF2-40B4-BE49-F238E27FC236}">
              <a16:creationId xmlns:a16="http://schemas.microsoft.com/office/drawing/2014/main" id="{1B2CC22F-AC27-7746-AF2E-135764D9FE1B}"/>
            </a:ext>
          </a:extLst>
        </xdr:cNvPr>
        <xdr:cNvSpPr txBox="1"/>
      </xdr:nvSpPr>
      <xdr:spPr>
        <a:xfrm>
          <a:off x="0" y="15062200"/>
          <a:ext cx="12934462" cy="830384"/>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Constructing a Balance Sheet</a:t>
          </a:r>
          <a:endParaRPr lang="en-US" sz="1200" b="0" baseline="0"/>
        </a:p>
        <a:p>
          <a:endParaRPr lang="en-US" sz="1200" b="0" baseline="0"/>
        </a:p>
        <a:p>
          <a:r>
            <a:rPr lang="en-US" sz="1200" b="0" baseline="0"/>
            <a:t>At the end of March,  use the transaction recorded above to construct  the balance sheet for "Macau &amp; Marko".</a:t>
          </a:r>
          <a:endParaRPr lang="en-US" sz="1200" b="0"/>
        </a:p>
        <a:p>
          <a:endParaRPr lang="en-US" sz="1200" b="1" baseline="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7531100" cy="1666875"/>
    <xdr:sp macro="" textlink="">
      <xdr:nvSpPr>
        <xdr:cNvPr id="2" name="TextBox 1">
          <a:extLst>
            <a:ext uri="{FF2B5EF4-FFF2-40B4-BE49-F238E27FC236}">
              <a16:creationId xmlns:a16="http://schemas.microsoft.com/office/drawing/2014/main" id="{8073BF22-B84C-7042-86B9-E62B49BF0087}"/>
            </a:ext>
          </a:extLst>
        </xdr:cNvPr>
        <xdr:cNvSpPr txBox="1"/>
      </xdr:nvSpPr>
      <xdr:spPr>
        <a:xfrm>
          <a:off x="0" y="0"/>
          <a:ext cx="7531100" cy="1666875"/>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Using Financial Statements to Analyze Financial Health of a Company</a:t>
          </a:r>
        </a:p>
        <a:p>
          <a:endParaRPr lang="en-US" sz="1200" b="0" baseline="0"/>
        </a:p>
        <a:p>
          <a:r>
            <a:rPr lang="en-US" sz="1200" b="0" baseline="0"/>
            <a:t>You are performing a financial analysis of a company. Table 1 presents selected (but not all) items from the company's financial statements.</a:t>
          </a:r>
        </a:p>
        <a:p>
          <a:endParaRPr lang="en-US" sz="1200" b="0" baseline="0"/>
        </a:p>
        <a:p>
          <a:r>
            <a:rPr lang="en-US" sz="1200" b="1" baseline="0"/>
            <a:t>Part 1: Identify the company</a:t>
          </a:r>
          <a:endParaRPr lang="en-US" sz="1200" b="0" baseline="0"/>
        </a:p>
      </xdr:txBody>
    </xdr:sp>
    <xdr:clientData/>
  </xdr:oneCellAnchor>
  <xdr:oneCellAnchor>
    <xdr:from>
      <xdr:col>0</xdr:col>
      <xdr:colOff>0</xdr:colOff>
      <xdr:row>25</xdr:row>
      <xdr:rowOff>1</xdr:rowOff>
    </xdr:from>
    <xdr:ext cx="7531100" cy="660400"/>
    <xdr:sp macro="" textlink="">
      <xdr:nvSpPr>
        <xdr:cNvPr id="3" name="TextBox 2">
          <a:extLst>
            <a:ext uri="{FF2B5EF4-FFF2-40B4-BE49-F238E27FC236}">
              <a16:creationId xmlns:a16="http://schemas.microsoft.com/office/drawing/2014/main" id="{6B7D2EDB-46F1-8E4B-A1D4-CAFF8E312246}"/>
            </a:ext>
          </a:extLst>
        </xdr:cNvPr>
        <xdr:cNvSpPr txBox="1"/>
      </xdr:nvSpPr>
      <xdr:spPr>
        <a:xfrm>
          <a:off x="0" y="3454401"/>
          <a:ext cx="7531100" cy="6604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3: Compute financial ratios</a:t>
          </a:r>
        </a:p>
        <a:p>
          <a:endParaRPr lang="en-US" sz="1200" b="0" baseline="0"/>
        </a:p>
      </xdr:txBody>
    </xdr:sp>
    <xdr:clientData/>
  </xdr:oneCellAnchor>
  <xdr:oneCellAnchor>
    <xdr:from>
      <xdr:col>0</xdr:col>
      <xdr:colOff>0</xdr:colOff>
      <xdr:row>47</xdr:row>
      <xdr:rowOff>0</xdr:rowOff>
    </xdr:from>
    <xdr:ext cx="7531100" cy="660400"/>
    <xdr:sp macro="" textlink="">
      <xdr:nvSpPr>
        <xdr:cNvPr id="4" name="TextBox 3">
          <a:extLst>
            <a:ext uri="{FF2B5EF4-FFF2-40B4-BE49-F238E27FC236}">
              <a16:creationId xmlns:a16="http://schemas.microsoft.com/office/drawing/2014/main" id="{313FF07F-4EA1-2141-9456-B91B0471BAC6}"/>
            </a:ext>
          </a:extLst>
        </xdr:cNvPr>
        <xdr:cNvSpPr txBox="1"/>
      </xdr:nvSpPr>
      <xdr:spPr>
        <a:xfrm>
          <a:off x="0" y="7924800"/>
          <a:ext cx="7531100" cy="6604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4: Interpreting the financial ratios</a:t>
          </a:r>
        </a:p>
        <a:p>
          <a:endParaRPr lang="en-US" sz="1200" b="0" baseline="0"/>
        </a:p>
      </xdr:txBody>
    </xdr:sp>
    <xdr:clientData/>
  </xdr:oneCellAnchor>
  <xdr:oneCellAnchor>
    <xdr:from>
      <xdr:col>0</xdr:col>
      <xdr:colOff>0</xdr:colOff>
      <xdr:row>13</xdr:row>
      <xdr:rowOff>0</xdr:rowOff>
    </xdr:from>
    <xdr:ext cx="7531100" cy="660400"/>
    <xdr:sp macro="" textlink="">
      <xdr:nvSpPr>
        <xdr:cNvPr id="5" name="TextBox 4">
          <a:extLst>
            <a:ext uri="{FF2B5EF4-FFF2-40B4-BE49-F238E27FC236}">
              <a16:creationId xmlns:a16="http://schemas.microsoft.com/office/drawing/2014/main" id="{14601FC2-E867-0A4A-96DA-8451DA49A47A}"/>
            </a:ext>
          </a:extLst>
        </xdr:cNvPr>
        <xdr:cNvSpPr txBox="1"/>
      </xdr:nvSpPr>
      <xdr:spPr>
        <a:xfrm>
          <a:off x="0" y="2286000"/>
          <a:ext cx="7531100" cy="660400"/>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2: Compute the numbers not reported in Table 1</a:t>
          </a:r>
          <a:endParaRPr lang="en-US" sz="1200" b="0" baseline="0"/>
        </a:p>
      </xdr:txBody>
    </xdr:sp>
    <xdr:clientData/>
  </xdr:oneCellAnchor>
  <xdr:oneCellAnchor>
    <xdr:from>
      <xdr:col>0</xdr:col>
      <xdr:colOff>0</xdr:colOff>
      <xdr:row>62</xdr:row>
      <xdr:rowOff>207817</xdr:rowOff>
    </xdr:from>
    <xdr:ext cx="7531100" cy="1039091"/>
    <xdr:sp macro="" textlink="">
      <xdr:nvSpPr>
        <xdr:cNvPr id="6" name="TextBox 5">
          <a:extLst>
            <a:ext uri="{FF2B5EF4-FFF2-40B4-BE49-F238E27FC236}">
              <a16:creationId xmlns:a16="http://schemas.microsoft.com/office/drawing/2014/main" id="{73A98933-625A-3F46-B065-CB80431407DB}"/>
            </a:ext>
          </a:extLst>
        </xdr:cNvPr>
        <xdr:cNvSpPr txBox="1"/>
      </xdr:nvSpPr>
      <xdr:spPr>
        <a:xfrm>
          <a:off x="0" y="12676908"/>
          <a:ext cx="7531100" cy="1039091"/>
        </a:xfrm>
        <a:prstGeom prst="rect">
          <a:avLst/>
        </a:prstGeom>
        <a:solidFill>
          <a:srgbClr val="EBF1DE"/>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t>Part 5: Conclusion</a:t>
          </a:r>
        </a:p>
        <a:p>
          <a:endParaRPr lang="en-US" sz="1200" b="0" baseline="0"/>
        </a:p>
        <a:p>
          <a:r>
            <a:rPr lang="en-US" sz="1200" b="0" baseline="0"/>
            <a:t>Did the company's financial situation improve or deteriorate during 2022-2024? Give three (3) reasons to support your answer.</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1B9A3-7408-6E43-A861-FE49FCD94FCE}">
  <dimension ref="A1:A8"/>
  <sheetViews>
    <sheetView workbookViewId="0">
      <selection activeCell="A12" sqref="A12"/>
    </sheetView>
  </sheetViews>
  <sheetFormatPr baseColWidth="10" defaultRowHeight="39"/>
  <cols>
    <col min="1" max="1" width="173.33203125" style="42" customWidth="1"/>
    <col min="2" max="16384" width="10.83203125" style="42"/>
  </cols>
  <sheetData>
    <row r="1" spans="1:1">
      <c r="A1" s="41" t="s">
        <v>21</v>
      </c>
    </row>
    <row r="2" spans="1:1">
      <c r="A2" s="43"/>
    </row>
    <row r="3" spans="1:1" ht="78">
      <c r="A3" s="44" t="s">
        <v>22</v>
      </c>
    </row>
    <row r="4" spans="1:1">
      <c r="A4" s="43"/>
    </row>
    <row r="5" spans="1:1">
      <c r="A5" s="43" t="s">
        <v>186</v>
      </c>
    </row>
    <row r="6" spans="1:1">
      <c r="A6" s="45"/>
    </row>
    <row r="7" spans="1:1">
      <c r="A7" s="43" t="s">
        <v>143</v>
      </c>
    </row>
    <row r="8" spans="1:1">
      <c r="A8" s="4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3B235-27A6-794F-88AD-AF638F8DA62D}">
  <dimension ref="A1:J37"/>
  <sheetViews>
    <sheetView zoomScaleNormal="100" zoomScalePageLayoutView="125" workbookViewId="0">
      <selection activeCell="A8" sqref="A8"/>
    </sheetView>
  </sheetViews>
  <sheetFormatPr baseColWidth="10" defaultRowHeight="16"/>
  <cols>
    <col min="1" max="1" width="141.33203125" customWidth="1"/>
  </cols>
  <sheetData>
    <row r="1" spans="1:10">
      <c r="A1" s="46" t="s">
        <v>142</v>
      </c>
      <c r="B1" s="47"/>
      <c r="C1" s="48"/>
      <c r="D1" s="48"/>
      <c r="E1" s="48"/>
      <c r="F1" s="48"/>
      <c r="G1" s="48"/>
      <c r="H1" s="48"/>
      <c r="I1" s="48"/>
      <c r="J1" s="48"/>
    </row>
    <row r="2" spans="1:10">
      <c r="A2" s="46"/>
      <c r="B2" s="48"/>
      <c r="C2" s="48"/>
      <c r="D2" s="48"/>
      <c r="E2" s="48"/>
      <c r="F2" s="48"/>
      <c r="G2" s="48"/>
      <c r="H2" s="48"/>
      <c r="I2" s="48"/>
      <c r="J2" s="48"/>
    </row>
    <row r="3" spans="1:10">
      <c r="A3" s="49" t="s">
        <v>23</v>
      </c>
      <c r="B3" s="48"/>
      <c r="C3" s="48"/>
      <c r="D3" s="48"/>
      <c r="E3" s="48"/>
      <c r="F3" s="48"/>
      <c r="G3" s="48"/>
      <c r="H3" s="48"/>
      <c r="I3" s="48"/>
      <c r="J3" s="48"/>
    </row>
    <row r="4" spans="1:10">
      <c r="A4" s="50" t="s">
        <v>24</v>
      </c>
      <c r="B4" s="51"/>
      <c r="C4" s="51"/>
      <c r="D4" s="51"/>
      <c r="E4" s="51"/>
      <c r="F4" s="51"/>
      <c r="G4" s="48"/>
      <c r="H4" s="48"/>
      <c r="I4" s="48"/>
      <c r="J4" s="48"/>
    </row>
    <row r="5" spans="1:10">
      <c r="A5" s="50"/>
      <c r="B5" s="51"/>
      <c r="C5" s="51"/>
      <c r="D5" s="51"/>
      <c r="E5" s="51"/>
      <c r="F5" s="51"/>
      <c r="G5" s="48"/>
      <c r="H5" s="48"/>
      <c r="I5" s="48"/>
      <c r="J5" s="48"/>
    </row>
    <row r="6" spans="1:10">
      <c r="A6" s="52" t="s">
        <v>25</v>
      </c>
      <c r="B6" s="51"/>
      <c r="C6" s="51"/>
      <c r="D6" s="51"/>
      <c r="E6" s="51"/>
      <c r="F6" s="51"/>
      <c r="G6" s="48"/>
      <c r="H6" s="48"/>
      <c r="I6" s="48"/>
      <c r="J6" s="48"/>
    </row>
    <row r="7" spans="1:10">
      <c r="A7" s="52"/>
      <c r="B7" s="48"/>
      <c r="C7" s="48"/>
      <c r="D7" s="48"/>
      <c r="E7" s="48"/>
      <c r="F7" s="48"/>
      <c r="G7" s="48"/>
      <c r="H7" s="48"/>
      <c r="I7" s="48"/>
      <c r="J7" s="48"/>
    </row>
    <row r="8" spans="1:10">
      <c r="A8" s="53" t="s">
        <v>26</v>
      </c>
      <c r="B8" s="54"/>
      <c r="C8" s="54"/>
      <c r="D8" s="54"/>
      <c r="E8" s="54"/>
      <c r="F8" s="54"/>
      <c r="G8" s="54"/>
      <c r="H8" s="48"/>
      <c r="I8" s="48"/>
      <c r="J8" s="48"/>
    </row>
    <row r="9" spans="1:10">
      <c r="A9" s="52" t="s">
        <v>27</v>
      </c>
      <c r="B9" s="54"/>
      <c r="C9" s="54"/>
      <c r="D9" s="54"/>
      <c r="E9" s="54"/>
      <c r="F9" s="48"/>
      <c r="G9" s="48"/>
      <c r="H9" s="48"/>
      <c r="I9" s="48"/>
      <c r="J9" s="48"/>
    </row>
    <row r="10" spans="1:10">
      <c r="A10" s="52"/>
      <c r="B10" s="48"/>
      <c r="C10" s="48"/>
      <c r="D10" s="48"/>
      <c r="E10" s="48"/>
      <c r="F10" s="48"/>
      <c r="G10" s="48"/>
      <c r="H10" s="48"/>
      <c r="I10" s="48"/>
      <c r="J10" s="48"/>
    </row>
    <row r="11" spans="1:10">
      <c r="A11" s="55" t="s">
        <v>28</v>
      </c>
      <c r="B11" s="56"/>
      <c r="C11" s="56"/>
      <c r="D11" s="56"/>
      <c r="E11" s="56"/>
      <c r="F11" s="56"/>
      <c r="G11" s="48"/>
      <c r="H11" s="48"/>
      <c r="I11" s="48"/>
      <c r="J11" s="48"/>
    </row>
    <row r="12" spans="1:10">
      <c r="A12" s="52" t="s">
        <v>29</v>
      </c>
      <c r="B12" s="48"/>
      <c r="C12" s="48"/>
      <c r="D12" s="48"/>
      <c r="E12" s="48"/>
      <c r="F12" s="48"/>
      <c r="G12" s="48"/>
      <c r="H12" s="48"/>
      <c r="I12" s="48"/>
      <c r="J12" s="48"/>
    </row>
    <row r="13" spans="1:10">
      <c r="A13" s="52" t="s">
        <v>30</v>
      </c>
      <c r="B13" s="48"/>
      <c r="C13" s="48"/>
      <c r="D13" s="48"/>
      <c r="E13" s="48"/>
      <c r="F13" s="48"/>
      <c r="G13" s="48"/>
      <c r="H13" s="48"/>
      <c r="I13" s="48"/>
      <c r="J13" s="48"/>
    </row>
    <row r="14" spans="1:10">
      <c r="A14" s="52"/>
      <c r="B14" s="48"/>
      <c r="C14" s="48"/>
      <c r="D14" s="48"/>
      <c r="E14" s="48"/>
      <c r="F14" s="48"/>
      <c r="G14" s="48"/>
      <c r="H14" s="48"/>
      <c r="I14" s="48"/>
      <c r="J14" s="48"/>
    </row>
    <row r="15" spans="1:10">
      <c r="A15" s="53" t="s">
        <v>31</v>
      </c>
      <c r="B15" s="54"/>
      <c r="C15" s="54"/>
      <c r="D15" s="54"/>
      <c r="E15" s="54"/>
      <c r="F15" s="54"/>
      <c r="G15" s="54"/>
      <c r="H15" s="48"/>
      <c r="I15" s="48"/>
      <c r="J15" s="48"/>
    </row>
    <row r="16" spans="1:10">
      <c r="A16" s="53" t="s">
        <v>32</v>
      </c>
      <c r="B16" s="57"/>
      <c r="C16" s="57"/>
      <c r="D16" s="57"/>
      <c r="E16" s="57"/>
      <c r="F16" s="57"/>
      <c r="G16" s="57"/>
      <c r="H16" s="48"/>
      <c r="I16" s="48"/>
      <c r="J16" s="48"/>
    </row>
    <row r="17" spans="1:10">
      <c r="A17" s="52"/>
      <c r="B17" s="48"/>
      <c r="C17" s="48"/>
      <c r="D17" s="48"/>
      <c r="E17" s="48"/>
      <c r="F17" s="48"/>
      <c r="G17" s="48"/>
      <c r="H17" s="48"/>
      <c r="I17" s="48"/>
      <c r="J17" s="48"/>
    </row>
    <row r="18" spans="1:10">
      <c r="A18" s="53" t="s">
        <v>33</v>
      </c>
      <c r="B18" s="54"/>
      <c r="C18" s="54"/>
      <c r="D18" s="54"/>
      <c r="E18" s="54"/>
      <c r="F18" s="54"/>
      <c r="G18" s="48"/>
      <c r="H18" s="48"/>
      <c r="I18" s="48"/>
      <c r="J18" s="48"/>
    </row>
    <row r="19" spans="1:10">
      <c r="A19" s="53"/>
      <c r="B19" s="48"/>
      <c r="C19" s="48"/>
      <c r="D19" s="48"/>
      <c r="E19" s="48"/>
      <c r="F19" s="48"/>
      <c r="G19" s="48"/>
      <c r="H19" s="48"/>
      <c r="I19" s="48"/>
      <c r="J19" s="48"/>
    </row>
    <row r="20" spans="1:10">
      <c r="A20" s="53" t="s">
        <v>34</v>
      </c>
      <c r="B20" s="54"/>
      <c r="C20" s="54"/>
      <c r="D20" s="54"/>
      <c r="E20" s="54"/>
      <c r="F20" s="54"/>
      <c r="G20" s="54"/>
      <c r="H20" s="54"/>
      <c r="I20" s="54"/>
      <c r="J20" s="48"/>
    </row>
    <row r="21" spans="1:10">
      <c r="A21" s="52"/>
      <c r="B21" s="48"/>
      <c r="C21" s="48"/>
      <c r="D21" s="48"/>
      <c r="E21" s="48"/>
      <c r="F21" s="48"/>
      <c r="G21" s="48"/>
      <c r="H21" s="48"/>
      <c r="I21" s="48"/>
      <c r="J21" s="48"/>
    </row>
    <row r="22" spans="1:10">
      <c r="A22" s="53" t="s">
        <v>35</v>
      </c>
      <c r="B22" s="54"/>
      <c r="C22" s="54"/>
      <c r="D22" s="54"/>
      <c r="E22" s="54"/>
      <c r="F22" s="54"/>
      <c r="G22" s="48"/>
      <c r="H22" s="48"/>
      <c r="I22" s="48"/>
      <c r="J22" s="48"/>
    </row>
    <row r="23" spans="1:10">
      <c r="A23" s="58"/>
      <c r="B23" s="48"/>
      <c r="C23" s="48"/>
      <c r="D23" s="48"/>
      <c r="E23" s="48"/>
      <c r="F23" s="48"/>
      <c r="G23" s="48"/>
      <c r="H23" s="48"/>
      <c r="I23" s="48"/>
      <c r="J23" s="48"/>
    </row>
    <row r="24" spans="1:10">
      <c r="A24" s="58" t="s">
        <v>36</v>
      </c>
      <c r="B24" s="59"/>
      <c r="C24" s="59"/>
      <c r="D24" s="59"/>
      <c r="E24" s="59"/>
      <c r="F24" s="59"/>
      <c r="G24" s="48"/>
      <c r="H24" s="48"/>
      <c r="I24" s="48"/>
      <c r="J24" s="48"/>
    </row>
    <row r="25" spans="1:10">
      <c r="A25" s="58"/>
      <c r="B25" s="48"/>
      <c r="C25" s="48"/>
      <c r="D25" s="48"/>
      <c r="E25" s="48"/>
      <c r="F25" s="48"/>
      <c r="G25" s="48"/>
      <c r="H25" s="48"/>
      <c r="I25" s="48"/>
      <c r="J25" s="48"/>
    </row>
    <row r="26" spans="1:10">
      <c r="A26" s="53" t="s">
        <v>37</v>
      </c>
      <c r="B26" s="54"/>
      <c r="C26" s="54"/>
      <c r="D26" s="54"/>
      <c r="E26" s="54"/>
      <c r="F26" s="54"/>
      <c r="G26" s="54"/>
      <c r="H26" s="54"/>
      <c r="I26" s="48"/>
      <c r="J26" s="48"/>
    </row>
    <row r="27" spans="1:10">
      <c r="A27" s="58"/>
      <c r="B27" s="48"/>
      <c r="C27" s="48"/>
      <c r="D27" s="48"/>
      <c r="E27" s="48"/>
      <c r="F27" s="48"/>
      <c r="G27" s="48"/>
      <c r="H27" s="48"/>
      <c r="I27" s="48"/>
      <c r="J27" s="48"/>
    </row>
    <row r="28" spans="1:10">
      <c r="A28" s="53" t="s">
        <v>38</v>
      </c>
      <c r="B28" s="54"/>
      <c r="C28" s="54"/>
      <c r="D28" s="54"/>
      <c r="E28" s="54"/>
      <c r="F28" s="54"/>
      <c r="G28" s="48"/>
      <c r="H28" s="48"/>
      <c r="I28" s="48"/>
      <c r="J28" s="48"/>
    </row>
    <row r="29" spans="1:10">
      <c r="A29" s="58"/>
      <c r="B29" s="48"/>
      <c r="C29" s="48"/>
      <c r="D29" s="48"/>
      <c r="E29" s="48"/>
      <c r="F29" s="48"/>
      <c r="G29" s="48"/>
      <c r="H29" s="48"/>
      <c r="I29" s="48"/>
      <c r="J29" s="48"/>
    </row>
    <row r="30" spans="1:10">
      <c r="A30" s="53" t="s">
        <v>39</v>
      </c>
      <c r="B30" s="54"/>
      <c r="C30" s="54"/>
      <c r="D30" s="54"/>
      <c r="E30" s="54"/>
      <c r="F30" s="54"/>
      <c r="G30" s="54"/>
      <c r="H30" s="54"/>
      <c r="I30" s="54"/>
      <c r="J30" s="54"/>
    </row>
    <row r="31" spans="1:10">
      <c r="A31" s="52"/>
      <c r="B31" s="48"/>
      <c r="C31" s="48"/>
      <c r="D31" s="48"/>
      <c r="E31" s="48"/>
      <c r="F31" s="48"/>
      <c r="G31" s="48"/>
      <c r="H31" s="48"/>
      <c r="I31" s="48"/>
      <c r="J31" s="48"/>
    </row>
    <row r="32" spans="1:10">
      <c r="A32" s="50" t="s">
        <v>40</v>
      </c>
      <c r="B32" s="48"/>
      <c r="C32" s="48"/>
      <c r="D32" s="48"/>
      <c r="E32" s="48"/>
      <c r="F32" s="48"/>
      <c r="G32" s="48"/>
      <c r="H32" s="48"/>
      <c r="I32" s="48"/>
      <c r="J32" s="48"/>
    </row>
    <row r="33" spans="1:10">
      <c r="A33" s="52"/>
      <c r="B33" s="48"/>
      <c r="C33" s="48"/>
      <c r="D33" s="48"/>
      <c r="E33" s="48"/>
      <c r="F33" s="48"/>
      <c r="G33" s="48"/>
      <c r="H33" s="48"/>
      <c r="I33" s="48"/>
      <c r="J33" s="48"/>
    </row>
    <row r="34" spans="1:10">
      <c r="A34" s="52" t="s">
        <v>41</v>
      </c>
      <c r="B34" s="48"/>
      <c r="C34" s="48"/>
      <c r="D34" s="48"/>
      <c r="E34" s="48"/>
      <c r="F34" s="48"/>
      <c r="G34" s="48"/>
      <c r="H34" s="48"/>
      <c r="I34" s="48"/>
      <c r="J34" s="48"/>
    </row>
    <row r="35" spans="1:10">
      <c r="A35" s="52"/>
      <c r="B35" s="48"/>
      <c r="C35" s="48"/>
      <c r="D35" s="48"/>
      <c r="E35" s="48"/>
      <c r="F35" s="48"/>
      <c r="G35" s="48"/>
      <c r="H35" s="48"/>
      <c r="I35" s="48"/>
      <c r="J35" s="48"/>
    </row>
    <row r="36" spans="1:10">
      <c r="A36" s="89" t="s">
        <v>42</v>
      </c>
      <c r="B36" s="57"/>
      <c r="C36" s="57"/>
      <c r="D36" s="57"/>
      <c r="E36" s="57"/>
      <c r="F36" s="57"/>
      <c r="G36" s="54"/>
      <c r="H36" s="54"/>
      <c r="I36" s="54"/>
      <c r="J36" s="54"/>
    </row>
    <row r="37" spans="1:10">
      <c r="A37" s="89"/>
      <c r="B37" s="57"/>
      <c r="C37" s="57"/>
      <c r="D37" s="57"/>
      <c r="E37" s="57"/>
      <c r="F37" s="54"/>
      <c r="G37" s="54"/>
      <c r="H37" s="54"/>
      <c r="I37" s="54"/>
      <c r="J37" s="54"/>
    </row>
  </sheetData>
  <mergeCells count="1">
    <mergeCell ref="A36:A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6A421-1069-B147-BA0D-EE4DF53A1EC6}">
  <dimension ref="A16:L55"/>
  <sheetViews>
    <sheetView topLeftCell="A26" zoomScale="133" zoomScaleNormal="110" workbookViewId="0">
      <selection activeCell="K28" sqref="K28"/>
    </sheetView>
  </sheetViews>
  <sheetFormatPr baseColWidth="10" defaultRowHeight="16"/>
  <cols>
    <col min="2" max="2" width="55.5" customWidth="1"/>
    <col min="3" max="3" width="21.83203125" bestFit="1" customWidth="1"/>
    <col min="4" max="4" width="17" bestFit="1" customWidth="1"/>
    <col min="6" max="6" width="18.83203125" customWidth="1"/>
    <col min="7" max="7" width="17" bestFit="1" customWidth="1"/>
    <col min="9" max="9" width="21.83203125" customWidth="1"/>
    <col min="10" max="10" width="17" bestFit="1" customWidth="1"/>
    <col min="12" max="12" width="58.33203125" bestFit="1" customWidth="1"/>
  </cols>
  <sheetData>
    <row r="16" spans="1:11">
      <c r="A16" s="1"/>
      <c r="B16" s="60"/>
      <c r="C16" s="91" t="s">
        <v>0</v>
      </c>
      <c r="D16" s="91"/>
      <c r="E16" s="91"/>
      <c r="F16" s="92" t="s">
        <v>3</v>
      </c>
      <c r="G16" s="92"/>
      <c r="H16" s="92"/>
      <c r="I16" s="93" t="s">
        <v>12</v>
      </c>
      <c r="J16" s="93"/>
      <c r="K16" s="93"/>
    </row>
    <row r="17" spans="1:12" s="13" customFormat="1">
      <c r="B17" s="40"/>
      <c r="C17" s="29" t="s">
        <v>13</v>
      </c>
      <c r="D17" s="29" t="s">
        <v>14</v>
      </c>
      <c r="E17" s="30" t="s">
        <v>15</v>
      </c>
      <c r="F17" s="31" t="s">
        <v>13</v>
      </c>
      <c r="G17" s="31" t="s">
        <v>14</v>
      </c>
      <c r="H17" s="32" t="s">
        <v>15</v>
      </c>
      <c r="I17" s="33" t="s">
        <v>13</v>
      </c>
      <c r="J17" s="33" t="s">
        <v>14</v>
      </c>
      <c r="K17" s="34" t="s">
        <v>15</v>
      </c>
    </row>
    <row r="18" spans="1:12" ht="42" customHeight="1">
      <c r="A18" s="61" t="s">
        <v>19</v>
      </c>
      <c r="B18" s="94" t="s">
        <v>122</v>
      </c>
      <c r="C18" s="36" t="s">
        <v>16</v>
      </c>
      <c r="D18" s="36" t="s">
        <v>17</v>
      </c>
      <c r="E18" s="62">
        <v>2000</v>
      </c>
      <c r="F18" s="36"/>
      <c r="G18" s="36"/>
      <c r="H18" s="62"/>
      <c r="I18" s="36" t="s">
        <v>20</v>
      </c>
      <c r="J18" s="36" t="s">
        <v>17</v>
      </c>
      <c r="K18" s="62">
        <v>2000</v>
      </c>
      <c r="L18" s="63"/>
    </row>
    <row r="19" spans="1:12" ht="42" customHeight="1">
      <c r="A19" s="61"/>
      <c r="B19" s="94"/>
      <c r="C19" s="36"/>
      <c r="D19" s="36"/>
      <c r="E19" s="62"/>
      <c r="F19" s="36"/>
      <c r="G19" s="36"/>
      <c r="H19" s="62"/>
      <c r="I19" s="36"/>
      <c r="J19" s="36"/>
      <c r="K19" s="62"/>
      <c r="L19" s="63"/>
    </row>
    <row r="20" spans="1:12" ht="64" customHeight="1">
      <c r="A20" s="4">
        <v>1</v>
      </c>
      <c r="B20" s="90" t="s">
        <v>127</v>
      </c>
      <c r="C20" s="36" t="s">
        <v>16</v>
      </c>
      <c r="D20" s="36" t="s">
        <v>17</v>
      </c>
      <c r="E20" s="38">
        <v>3000</v>
      </c>
      <c r="F20" s="36"/>
      <c r="G20" s="36"/>
      <c r="H20" s="36"/>
      <c r="I20" s="36" t="s">
        <v>61</v>
      </c>
      <c r="J20" s="36" t="s">
        <v>17</v>
      </c>
      <c r="K20" s="38">
        <v>3000</v>
      </c>
      <c r="L20" s="68" t="s">
        <v>147</v>
      </c>
    </row>
    <row r="21" spans="1:12" ht="64" customHeight="1">
      <c r="A21" s="4"/>
      <c r="B21" s="90"/>
      <c r="C21" s="36" t="s">
        <v>16</v>
      </c>
      <c r="D21" s="36" t="s">
        <v>145</v>
      </c>
      <c r="E21" s="38">
        <v>-1000</v>
      </c>
      <c r="F21" s="36"/>
      <c r="G21" s="36"/>
      <c r="H21" s="36"/>
      <c r="I21" s="36" t="s">
        <v>61</v>
      </c>
      <c r="J21" s="36" t="s">
        <v>145</v>
      </c>
      <c r="K21" s="38">
        <v>-1000</v>
      </c>
      <c r="L21" s="68" t="s">
        <v>146</v>
      </c>
    </row>
    <row r="22" spans="1:12" ht="42" customHeight="1">
      <c r="A22" s="5">
        <v>2</v>
      </c>
      <c r="B22" s="94" t="s">
        <v>128</v>
      </c>
      <c r="C22" s="36" t="s">
        <v>16</v>
      </c>
      <c r="D22" s="36" t="s">
        <v>17</v>
      </c>
      <c r="E22" s="62">
        <v>4000</v>
      </c>
      <c r="F22" s="36" t="s">
        <v>144</v>
      </c>
      <c r="G22" s="38" t="s">
        <v>17</v>
      </c>
      <c r="H22" s="62">
        <v>4000</v>
      </c>
      <c r="I22" s="36"/>
      <c r="J22" s="36"/>
      <c r="K22" s="62"/>
      <c r="L22" s="36"/>
    </row>
    <row r="23" spans="1:12" ht="42" customHeight="1">
      <c r="A23" s="5"/>
      <c r="B23" s="94"/>
      <c r="C23" s="36"/>
      <c r="D23" s="36"/>
      <c r="E23" s="62"/>
      <c r="F23" s="36"/>
      <c r="G23" s="36"/>
      <c r="H23" s="62"/>
      <c r="I23" s="36"/>
      <c r="J23" s="36"/>
      <c r="K23" s="36"/>
      <c r="L23" s="36"/>
    </row>
    <row r="24" spans="1:12" ht="73" customHeight="1">
      <c r="A24" s="37">
        <v>3</v>
      </c>
      <c r="B24" s="90" t="s">
        <v>129</v>
      </c>
      <c r="C24" s="36" t="s">
        <v>16</v>
      </c>
      <c r="D24" s="36" t="s">
        <v>145</v>
      </c>
      <c r="E24" s="62">
        <v>-300</v>
      </c>
      <c r="I24" s="36"/>
      <c r="J24" s="36"/>
      <c r="K24" s="62"/>
      <c r="L24" s="36"/>
    </row>
    <row r="25" spans="1:12" ht="73" customHeight="1">
      <c r="A25" s="37"/>
      <c r="B25" s="90"/>
      <c r="C25" s="35" t="s">
        <v>149</v>
      </c>
      <c r="D25" s="36" t="s">
        <v>17</v>
      </c>
      <c r="E25" s="62">
        <v>300</v>
      </c>
      <c r="F25" s="36"/>
      <c r="G25" s="36"/>
      <c r="H25" s="62"/>
      <c r="I25" s="36"/>
      <c r="J25" s="36"/>
      <c r="K25" s="62"/>
      <c r="L25" s="36"/>
    </row>
    <row r="26" spans="1:12" ht="42" customHeight="1">
      <c r="A26" s="7">
        <v>4</v>
      </c>
      <c r="B26" s="90" t="s">
        <v>125</v>
      </c>
      <c r="C26" s="36" t="s">
        <v>149</v>
      </c>
      <c r="D26" s="36" t="s">
        <v>145</v>
      </c>
      <c r="E26" s="62">
        <v>-300</v>
      </c>
      <c r="F26" s="36" t="s">
        <v>144</v>
      </c>
      <c r="G26" s="36" t="s">
        <v>145</v>
      </c>
      <c r="H26" s="62">
        <v>-4000</v>
      </c>
      <c r="I26" s="36" t="s">
        <v>61</v>
      </c>
      <c r="J26" s="36" t="s">
        <v>17</v>
      </c>
      <c r="K26" s="62">
        <v>4000</v>
      </c>
      <c r="L26" s="36" t="s">
        <v>147</v>
      </c>
    </row>
    <row r="27" spans="1:12" ht="42" customHeight="1">
      <c r="A27" s="7"/>
      <c r="B27" s="90"/>
      <c r="C27" s="35"/>
      <c r="D27" s="36"/>
      <c r="E27" s="62"/>
      <c r="F27" s="36" t="s">
        <v>56</v>
      </c>
      <c r="G27" s="36" t="s">
        <v>17</v>
      </c>
      <c r="H27" s="62">
        <v>1200</v>
      </c>
      <c r="I27" s="36"/>
      <c r="J27" s="36"/>
      <c r="K27" s="62"/>
      <c r="L27" s="36"/>
    </row>
    <row r="28" spans="1:12" ht="53" customHeight="1">
      <c r="A28" s="8">
        <v>5</v>
      </c>
      <c r="B28" s="90" t="s">
        <v>123</v>
      </c>
      <c r="C28" s="36" t="s">
        <v>16</v>
      </c>
      <c r="D28" s="36" t="s">
        <v>145</v>
      </c>
      <c r="E28" s="62">
        <v>-1200</v>
      </c>
      <c r="F28" s="36" t="s">
        <v>56</v>
      </c>
      <c r="G28" s="36" t="s">
        <v>145</v>
      </c>
      <c r="H28" s="62">
        <v>-1200</v>
      </c>
      <c r="I28" s="36" t="s">
        <v>148</v>
      </c>
      <c r="J28" s="36" t="s">
        <v>145</v>
      </c>
      <c r="K28" s="62">
        <v>-1500</v>
      </c>
      <c r="L28" s="36" t="s">
        <v>146</v>
      </c>
    </row>
    <row r="29" spans="1:12" ht="53" customHeight="1">
      <c r="A29" s="8"/>
      <c r="B29" s="90"/>
      <c r="C29" s="36"/>
      <c r="D29" s="36"/>
      <c r="E29" s="62"/>
      <c r="F29" s="36"/>
      <c r="G29" s="36"/>
      <c r="H29" s="62"/>
      <c r="I29" s="36"/>
      <c r="J29" s="36"/>
      <c r="K29" s="62"/>
      <c r="L29" s="36"/>
    </row>
    <row r="37" spans="1:3">
      <c r="B37" s="64" t="s">
        <v>114</v>
      </c>
      <c r="C37" s="69" t="s">
        <v>124</v>
      </c>
    </row>
    <row r="38" spans="1:3">
      <c r="A38" s="65">
        <v>6.1</v>
      </c>
      <c r="B38" s="18" t="s">
        <v>16</v>
      </c>
      <c r="C38" s="70">
        <f>SUM(E18+E20+E21+E22+E24+E28)</f>
        <v>6500</v>
      </c>
    </row>
    <row r="39" spans="1:3">
      <c r="A39" s="65">
        <v>6.2</v>
      </c>
      <c r="B39" s="18" t="s">
        <v>18</v>
      </c>
      <c r="C39" s="70">
        <v>0</v>
      </c>
    </row>
    <row r="40" spans="1:3">
      <c r="A40" s="65">
        <v>6.3</v>
      </c>
      <c r="B40" s="18" t="s">
        <v>1</v>
      </c>
      <c r="C40" s="70">
        <v>0</v>
      </c>
    </row>
    <row r="41" spans="1:3">
      <c r="A41" s="65">
        <v>6.4</v>
      </c>
      <c r="B41" s="18" t="s">
        <v>120</v>
      </c>
      <c r="C41" s="70">
        <v>0</v>
      </c>
    </row>
    <row r="42" spans="1:3">
      <c r="A42" s="65">
        <v>6.5</v>
      </c>
      <c r="B42" s="18" t="s">
        <v>115</v>
      </c>
      <c r="C42" s="70">
        <v>0</v>
      </c>
    </row>
    <row r="43" spans="1:3">
      <c r="A43" s="65">
        <v>6.6</v>
      </c>
      <c r="B43" s="18" t="s">
        <v>113</v>
      </c>
      <c r="C43" s="70">
        <v>0</v>
      </c>
    </row>
    <row r="44" spans="1:3">
      <c r="A44" s="65">
        <v>6.7</v>
      </c>
      <c r="B44" s="18" t="s">
        <v>116</v>
      </c>
      <c r="C44" s="70">
        <v>0</v>
      </c>
    </row>
    <row r="45" spans="1:3">
      <c r="A45" s="65">
        <v>6.8</v>
      </c>
      <c r="B45" s="18" t="s">
        <v>2</v>
      </c>
      <c r="C45" s="70">
        <f>C38</f>
        <v>6500</v>
      </c>
    </row>
    <row r="46" spans="1:3">
      <c r="A46" s="39">
        <v>7.1</v>
      </c>
      <c r="B46" s="18" t="s">
        <v>121</v>
      </c>
      <c r="C46" s="71">
        <v>0</v>
      </c>
    </row>
    <row r="47" spans="1:3">
      <c r="A47" s="39">
        <v>7.2</v>
      </c>
      <c r="B47" s="18" t="s">
        <v>4</v>
      </c>
      <c r="C47" s="71">
        <f>H22+H26</f>
        <v>0</v>
      </c>
    </row>
    <row r="48" spans="1:3">
      <c r="A48" s="39">
        <v>7.3</v>
      </c>
      <c r="B48" s="18" t="s">
        <v>117</v>
      </c>
      <c r="C48" s="71">
        <v>0</v>
      </c>
    </row>
    <row r="49" spans="1:11">
      <c r="A49" s="39">
        <v>7.4</v>
      </c>
      <c r="B49" s="18" t="s">
        <v>130</v>
      </c>
      <c r="C49" s="71">
        <v>0</v>
      </c>
    </row>
    <row r="50" spans="1:11">
      <c r="A50" s="39">
        <v>7.5</v>
      </c>
      <c r="B50" s="18" t="s">
        <v>5</v>
      </c>
      <c r="C50" s="71">
        <v>0</v>
      </c>
    </row>
    <row r="51" spans="1:11">
      <c r="A51" s="66">
        <v>8.1</v>
      </c>
      <c r="B51" s="18" t="s">
        <v>20</v>
      </c>
      <c r="C51" s="72">
        <f>K18</f>
        <v>2000</v>
      </c>
    </row>
    <row r="52" spans="1:11">
      <c r="A52" s="66">
        <v>8.1999999999999993</v>
      </c>
      <c r="B52" s="18" t="s">
        <v>6</v>
      </c>
      <c r="C52" s="72">
        <f>SUM(K20:K28)</f>
        <v>4500</v>
      </c>
    </row>
    <row r="53" spans="1:11">
      <c r="A53" s="66">
        <v>8.3000000000000007</v>
      </c>
      <c r="B53" s="18" t="s">
        <v>118</v>
      </c>
      <c r="C53" s="72">
        <f>C51+C52</f>
        <v>6500</v>
      </c>
    </row>
    <row r="55" spans="1:11">
      <c r="A55" s="67">
        <v>9</v>
      </c>
      <c r="B55" t="s">
        <v>119</v>
      </c>
      <c r="C55" t="str">
        <f>IF(C45=C53, "VERIFIED", "FALSE")</f>
        <v>VERIFIED</v>
      </c>
      <c r="J55" s="13"/>
      <c r="K55" s="83"/>
    </row>
  </sheetData>
  <mergeCells count="9">
    <mergeCell ref="B26:B27"/>
    <mergeCell ref="B28:B29"/>
    <mergeCell ref="C16:E16"/>
    <mergeCell ref="F16:H16"/>
    <mergeCell ref="I16:K16"/>
    <mergeCell ref="B18:B19"/>
    <mergeCell ref="B22:B23"/>
    <mergeCell ref="B24:B25"/>
    <mergeCell ref="B20:B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4FE4-362C-9544-B6C1-DD1E108BFE6A}">
  <dimension ref="A1:V78"/>
  <sheetViews>
    <sheetView tabSelected="1" topLeftCell="B7" zoomScale="115" zoomScaleNormal="110" workbookViewId="0">
      <selection activeCell="O27" sqref="O27"/>
    </sheetView>
  </sheetViews>
  <sheetFormatPr baseColWidth="10" defaultRowHeight="16"/>
  <cols>
    <col min="6" max="6" width="12.1640625" customWidth="1"/>
    <col min="12" max="12" width="36.33203125" customWidth="1"/>
    <col min="13" max="13" width="12.33203125" bestFit="1" customWidth="1"/>
  </cols>
  <sheetData>
    <row r="1" spans="1:17">
      <c r="L1" s="1" t="s">
        <v>62</v>
      </c>
    </row>
    <row r="3" spans="1:17">
      <c r="L3" s="2" t="s">
        <v>8</v>
      </c>
      <c r="M3" s="3">
        <v>2024</v>
      </c>
      <c r="N3" s="3">
        <v>2023</v>
      </c>
      <c r="O3" s="3">
        <v>2022</v>
      </c>
      <c r="P3" s="3">
        <v>2021</v>
      </c>
    </row>
    <row r="4" spans="1:17">
      <c r="L4" s="73" t="s">
        <v>43</v>
      </c>
      <c r="M4" s="74">
        <v>801473</v>
      </c>
      <c r="N4" s="74">
        <v>1005459</v>
      </c>
      <c r="O4" s="74">
        <v>1093541</v>
      </c>
      <c r="P4" s="74">
        <v>1161084</v>
      </c>
      <c r="Q4" s="85"/>
    </row>
    <row r="5" spans="1:17">
      <c r="L5" s="73" t="s">
        <v>44</v>
      </c>
      <c r="M5" s="74">
        <v>530178</v>
      </c>
      <c r="N5" s="74">
        <v>681886</v>
      </c>
      <c r="O5" s="74">
        <v>686713</v>
      </c>
      <c r="P5" s="74">
        <v>683979</v>
      </c>
    </row>
    <row r="6" spans="1:17">
      <c r="L6" s="73" t="s">
        <v>48</v>
      </c>
      <c r="M6" s="74">
        <v>212570</v>
      </c>
      <c r="N6" s="74">
        <v>232385</v>
      </c>
      <c r="O6" s="74">
        <v>227774</v>
      </c>
      <c r="P6" s="74">
        <v>221839</v>
      </c>
    </row>
    <row r="7" spans="1:17">
      <c r="L7" s="73" t="s">
        <v>45</v>
      </c>
      <c r="M7" s="74">
        <v>185897</v>
      </c>
      <c r="N7" s="74">
        <v>165688</v>
      </c>
      <c r="O7" s="74">
        <v>139885</v>
      </c>
      <c r="P7" s="74">
        <v>141494</v>
      </c>
    </row>
    <row r="8" spans="1:17">
      <c r="L8" s="73" t="s">
        <v>46</v>
      </c>
      <c r="M8" s="74">
        <v>-127172</v>
      </c>
      <c r="N8" s="74">
        <v>-74500</v>
      </c>
      <c r="O8" s="74">
        <v>39169</v>
      </c>
      <c r="P8" s="74">
        <v>113772</v>
      </c>
    </row>
    <row r="9" spans="1:17">
      <c r="L9" s="73" t="s">
        <v>58</v>
      </c>
      <c r="M9" s="74">
        <v>3329</v>
      </c>
      <c r="N9" s="74">
        <v>4699</v>
      </c>
      <c r="O9" s="74">
        <v>6242</v>
      </c>
      <c r="P9" s="74">
        <v>22940</v>
      </c>
    </row>
    <row r="10" spans="1:17">
      <c r="A10" s="24">
        <v>1</v>
      </c>
      <c r="B10" t="s">
        <v>105</v>
      </c>
      <c r="L10" s="73" t="s">
        <v>47</v>
      </c>
      <c r="M10" s="74">
        <v>-133089</v>
      </c>
      <c r="N10" s="74">
        <v>-67733</v>
      </c>
      <c r="O10" s="74">
        <v>34453</v>
      </c>
      <c r="P10" s="74">
        <v>90100</v>
      </c>
    </row>
    <row r="11" spans="1:17">
      <c r="A11" s="24"/>
      <c r="B11" t="s">
        <v>106</v>
      </c>
      <c r="E11" s="84" t="s">
        <v>107</v>
      </c>
      <c r="H11" t="s">
        <v>185</v>
      </c>
      <c r="L11" s="73" t="s">
        <v>57</v>
      </c>
      <c r="M11" s="74">
        <v>299222</v>
      </c>
      <c r="N11" s="74">
        <v>-14550</v>
      </c>
      <c r="O11" s="74">
        <v>5606</v>
      </c>
      <c r="P11" s="74">
        <v>-281071</v>
      </c>
    </row>
    <row r="12" spans="1:17">
      <c r="A12" s="24"/>
      <c r="B12" s="75" t="s">
        <v>108</v>
      </c>
      <c r="E12" t="s">
        <v>109</v>
      </c>
      <c r="L12" s="2" t="s">
        <v>7</v>
      </c>
      <c r="M12" s="3">
        <v>2024</v>
      </c>
      <c r="N12" s="3">
        <v>2023</v>
      </c>
      <c r="O12" s="3">
        <v>2022</v>
      </c>
      <c r="P12" s="3">
        <v>2021</v>
      </c>
    </row>
    <row r="13" spans="1:17">
      <c r="L13" s="73" t="s">
        <v>65</v>
      </c>
      <c r="M13" s="74">
        <v>339245</v>
      </c>
      <c r="N13" s="74">
        <v>482591</v>
      </c>
      <c r="O13" s="74">
        <v>606027</v>
      </c>
      <c r="P13" s="74">
        <v>781858</v>
      </c>
    </row>
    <row r="14" spans="1:17">
      <c r="L14" s="73" t="s">
        <v>49</v>
      </c>
      <c r="M14" s="74">
        <v>102811</v>
      </c>
      <c r="N14" s="74">
        <v>222708</v>
      </c>
      <c r="O14" s="74">
        <v>223735</v>
      </c>
      <c r="P14" s="74">
        <v>401087</v>
      </c>
    </row>
    <row r="15" spans="1:17">
      <c r="L15" s="73" t="s">
        <v>59</v>
      </c>
      <c r="M15" s="73">
        <v>0</v>
      </c>
      <c r="N15" s="74">
        <v>23867</v>
      </c>
      <c r="O15" s="74">
        <v>143602</v>
      </c>
      <c r="P15" s="74">
        <v>137830</v>
      </c>
    </row>
    <row r="16" spans="1:17">
      <c r="L16" s="73" t="s">
        <v>50</v>
      </c>
      <c r="M16" s="74">
        <v>85944</v>
      </c>
      <c r="N16" s="74">
        <v>91452</v>
      </c>
      <c r="O16" s="74">
        <v>77008</v>
      </c>
      <c r="P16" s="74">
        <v>114221</v>
      </c>
    </row>
    <row r="17" spans="1:19">
      <c r="L17" s="73" t="s">
        <v>1</v>
      </c>
      <c r="M17" s="74">
        <v>120716</v>
      </c>
      <c r="N17" s="74">
        <v>106266</v>
      </c>
      <c r="O17" s="74">
        <v>127131</v>
      </c>
      <c r="P17" s="74">
        <v>86409</v>
      </c>
    </row>
    <row r="18" spans="1:19">
      <c r="A18" s="4">
        <v>2</v>
      </c>
      <c r="B18" t="s">
        <v>63</v>
      </c>
      <c r="L18" s="73" t="s">
        <v>51</v>
      </c>
      <c r="M18" s="74">
        <v>204433</v>
      </c>
      <c r="N18" s="74">
        <v>485360</v>
      </c>
      <c r="O18" s="74">
        <v>470898</v>
      </c>
      <c r="P18" s="74">
        <v>478021</v>
      </c>
    </row>
    <row r="19" spans="1:19">
      <c r="A19" s="5">
        <v>3</v>
      </c>
      <c r="B19" t="s">
        <v>64</v>
      </c>
      <c r="L19" s="73" t="s">
        <v>53</v>
      </c>
      <c r="M19" s="74">
        <v>101144</v>
      </c>
      <c r="N19" s="74">
        <v>106855</v>
      </c>
      <c r="O19" s="74">
        <v>133659</v>
      </c>
      <c r="P19" s="74">
        <v>149097</v>
      </c>
    </row>
    <row r="20" spans="1:19">
      <c r="A20" s="6">
        <v>4</v>
      </c>
      <c r="B20" t="s">
        <v>66</v>
      </c>
      <c r="L20" s="73" t="s">
        <v>54</v>
      </c>
      <c r="M20" s="74">
        <v>78045</v>
      </c>
      <c r="N20" s="74">
        <v>79440</v>
      </c>
      <c r="O20" s="74">
        <v>98513</v>
      </c>
      <c r="P20" s="74">
        <v>102774</v>
      </c>
    </row>
    <row r="21" spans="1:19">
      <c r="A21" s="7">
        <v>5</v>
      </c>
      <c r="B21" t="s">
        <v>69</v>
      </c>
      <c r="L21" s="73" t="s">
        <v>55</v>
      </c>
      <c r="M21" s="74">
        <v>158304</v>
      </c>
      <c r="N21" s="74">
        <v>146474</v>
      </c>
      <c r="O21" s="74">
        <v>146474</v>
      </c>
      <c r="P21" s="74">
        <v>146521</v>
      </c>
    </row>
    <row r="22" spans="1:19">
      <c r="A22" s="8">
        <v>6</v>
      </c>
      <c r="B22" t="s">
        <v>70</v>
      </c>
      <c r="L22" s="73" t="s">
        <v>68</v>
      </c>
      <c r="M22" s="74">
        <v>356267</v>
      </c>
      <c r="N22" s="74">
        <v>279094</v>
      </c>
      <c r="O22" s="74">
        <v>275928</v>
      </c>
      <c r="P22" s="74">
        <v>474832</v>
      </c>
    </row>
    <row r="23" spans="1:19">
      <c r="A23" s="9">
        <v>7</v>
      </c>
      <c r="B23" t="s">
        <v>67</v>
      </c>
      <c r="L23" s="73" t="s">
        <v>56</v>
      </c>
      <c r="M23" s="74">
        <v>85936</v>
      </c>
      <c r="N23" s="74">
        <v>102612</v>
      </c>
      <c r="O23" s="74">
        <v>91648</v>
      </c>
      <c r="P23" s="74">
        <v>171545</v>
      </c>
    </row>
    <row r="24" spans="1:19">
      <c r="A24" s="10">
        <v>8</v>
      </c>
      <c r="B24" t="s">
        <v>71</v>
      </c>
      <c r="L24" s="73" t="s">
        <v>60</v>
      </c>
      <c r="M24" s="74">
        <v>35722</v>
      </c>
      <c r="N24" s="74">
        <v>133011</v>
      </c>
      <c r="O24" s="74">
        <v>189438</v>
      </c>
      <c r="P24" s="74">
        <v>169133</v>
      </c>
    </row>
    <row r="25" spans="1:19">
      <c r="L25" s="73" t="s">
        <v>61</v>
      </c>
      <c r="M25" s="74">
        <v>-681607</v>
      </c>
      <c r="N25" s="74">
        <v>-249296</v>
      </c>
      <c r="O25" s="74">
        <v>-196113</v>
      </c>
      <c r="P25" s="74">
        <v>-279345</v>
      </c>
    </row>
    <row r="26" spans="1:19">
      <c r="L26" s="73"/>
      <c r="M26" s="74"/>
      <c r="N26" s="74"/>
      <c r="O26" s="74"/>
      <c r="P26" s="74"/>
    </row>
    <row r="27" spans="1:19">
      <c r="L27" s="75"/>
      <c r="M27" s="3">
        <v>2024</v>
      </c>
      <c r="N27" s="3">
        <v>2023</v>
      </c>
      <c r="O27" s="3">
        <v>2022</v>
      </c>
      <c r="P27" s="3">
        <v>2021</v>
      </c>
    </row>
    <row r="28" spans="1:19">
      <c r="K28" s="4">
        <v>2</v>
      </c>
      <c r="L28" s="73" t="s">
        <v>9</v>
      </c>
      <c r="M28" s="76">
        <f>M4-M5</f>
        <v>271295</v>
      </c>
      <c r="N28" s="76">
        <f t="shared" ref="N28:P28" si="0">N4-N5</f>
        <v>323573</v>
      </c>
      <c r="O28" s="76">
        <f t="shared" si="0"/>
        <v>406828</v>
      </c>
      <c r="P28" s="76">
        <f t="shared" si="0"/>
        <v>477105</v>
      </c>
      <c r="Q28" s="87" t="s">
        <v>150</v>
      </c>
      <c r="R28" s="87"/>
      <c r="S28" s="87"/>
    </row>
    <row r="29" spans="1:19">
      <c r="K29" s="5">
        <v>3</v>
      </c>
      <c r="L29" s="73" t="s">
        <v>10</v>
      </c>
      <c r="M29" s="76">
        <f>M10-M11</f>
        <v>-432311</v>
      </c>
      <c r="N29" s="76">
        <f t="shared" ref="N29:P29" si="1">N10-N11</f>
        <v>-53183</v>
      </c>
      <c r="O29" s="76">
        <f t="shared" si="1"/>
        <v>28847</v>
      </c>
      <c r="P29" s="76">
        <f t="shared" si="1"/>
        <v>371171</v>
      </c>
      <c r="Q29" s="87" t="s">
        <v>151</v>
      </c>
      <c r="R29" s="87"/>
      <c r="S29" s="87"/>
    </row>
    <row r="30" spans="1:19">
      <c r="A30" s="11">
        <v>9</v>
      </c>
      <c r="B30" t="s">
        <v>73</v>
      </c>
      <c r="K30" s="6">
        <v>4</v>
      </c>
      <c r="L30" s="73" t="s">
        <v>2</v>
      </c>
      <c r="M30" s="76">
        <f>SUM(M13,M14,M15,M16,M17,M18,M19,M21)</f>
        <v>1112597</v>
      </c>
      <c r="N30" s="76">
        <f t="shared" ref="N30:P30" si="2">SUM(N13,N14,N15,N16,N17,N18,N19,N21)</f>
        <v>1665573</v>
      </c>
      <c r="O30" s="76">
        <f t="shared" si="2"/>
        <v>1928534</v>
      </c>
      <c r="P30" s="76">
        <f t="shared" si="2"/>
        <v>2295044</v>
      </c>
      <c r="Q30" s="87"/>
      <c r="R30" s="87"/>
      <c r="S30" s="87"/>
    </row>
    <row r="31" spans="1:19">
      <c r="A31" s="12">
        <v>10</v>
      </c>
      <c r="B31" t="s">
        <v>76</v>
      </c>
      <c r="K31" s="7">
        <v>5</v>
      </c>
      <c r="L31" s="73" t="s">
        <v>5</v>
      </c>
      <c r="M31" s="76">
        <f>SUM(M20,M22,M23,M24)</f>
        <v>555970</v>
      </c>
      <c r="N31" s="76">
        <f t="shared" ref="N31:P31" si="3">SUM(N22,N23,N24,N20)</f>
        <v>594157</v>
      </c>
      <c r="O31" s="76">
        <f t="shared" si="3"/>
        <v>655527</v>
      </c>
      <c r="P31" s="76">
        <f t="shared" si="3"/>
        <v>918284</v>
      </c>
      <c r="Q31" s="87"/>
      <c r="R31" s="87"/>
      <c r="S31" s="87"/>
    </row>
    <row r="32" spans="1:19">
      <c r="A32" s="14">
        <v>11</v>
      </c>
      <c r="B32" t="s">
        <v>78</v>
      </c>
      <c r="K32" s="8">
        <v>6</v>
      </c>
      <c r="L32" s="73" t="s">
        <v>75</v>
      </c>
      <c r="M32" s="76">
        <f>M25</f>
        <v>-681607</v>
      </c>
      <c r="N32" s="76">
        <f t="shared" ref="N32:P32" si="4">N25</f>
        <v>-249296</v>
      </c>
      <c r="O32" s="76">
        <f t="shared" si="4"/>
        <v>-196113</v>
      </c>
      <c r="P32" s="76">
        <f t="shared" si="4"/>
        <v>-279345</v>
      </c>
      <c r="Q32" s="87" t="s">
        <v>152</v>
      </c>
      <c r="R32" s="87"/>
      <c r="S32" s="87"/>
    </row>
    <row r="33" spans="1:22">
      <c r="A33" s="15">
        <v>12</v>
      </c>
      <c r="B33" t="s">
        <v>82</v>
      </c>
      <c r="K33" s="9">
        <v>7</v>
      </c>
      <c r="L33" s="73" t="s">
        <v>52</v>
      </c>
      <c r="M33" s="76">
        <f>M19-M20</f>
        <v>23099</v>
      </c>
      <c r="N33" s="76">
        <f t="shared" ref="N33:P33" si="5">N19-N20</f>
        <v>27415</v>
      </c>
      <c r="O33" s="76">
        <f t="shared" si="5"/>
        <v>35146</v>
      </c>
      <c r="P33" s="76">
        <f t="shared" si="5"/>
        <v>46323</v>
      </c>
      <c r="Q33" s="87" t="s">
        <v>153</v>
      </c>
      <c r="R33" s="87"/>
      <c r="S33" s="87"/>
    </row>
    <row r="34" spans="1:22">
      <c r="A34" s="15"/>
      <c r="B34" t="s">
        <v>81</v>
      </c>
      <c r="K34" s="10">
        <v>8</v>
      </c>
      <c r="L34" s="73" t="s">
        <v>72</v>
      </c>
      <c r="M34" s="76">
        <f>M10</f>
        <v>-133089</v>
      </c>
      <c r="N34" s="76">
        <f t="shared" ref="N34:P34" si="6">N10</f>
        <v>-67733</v>
      </c>
      <c r="O34" s="76">
        <f t="shared" si="6"/>
        <v>34453</v>
      </c>
      <c r="P34" s="76">
        <f t="shared" si="6"/>
        <v>90100</v>
      </c>
      <c r="Q34" s="87" t="s">
        <v>154</v>
      </c>
      <c r="R34" s="87"/>
      <c r="S34" s="87"/>
    </row>
    <row r="35" spans="1:22">
      <c r="A35" s="16">
        <v>13</v>
      </c>
      <c r="B35" t="s">
        <v>83</v>
      </c>
      <c r="L35" s="75"/>
      <c r="M35" s="76"/>
      <c r="N35" s="76"/>
      <c r="O35" s="76"/>
      <c r="P35" s="76"/>
      <c r="Q35" s="87"/>
      <c r="R35" s="87"/>
      <c r="S35" s="87"/>
    </row>
    <row r="36" spans="1:22">
      <c r="A36" s="16"/>
      <c r="B36" t="s">
        <v>81</v>
      </c>
      <c r="K36" s="11">
        <v>9</v>
      </c>
      <c r="L36" s="73" t="s">
        <v>74</v>
      </c>
      <c r="M36" s="77">
        <f>M31/M32</f>
        <v>-0.8156753084988857</v>
      </c>
      <c r="N36" s="77">
        <f t="shared" ref="N36:P36" si="7">N31/N32</f>
        <v>-2.3833394839869073</v>
      </c>
      <c r="O36" s="77">
        <f t="shared" si="7"/>
        <v>-3.3425983999020974</v>
      </c>
      <c r="P36" s="77">
        <f t="shared" si="7"/>
        <v>-3.2872755911149296</v>
      </c>
      <c r="Q36" s="87" t="s">
        <v>155</v>
      </c>
      <c r="R36" s="87"/>
      <c r="S36" s="87"/>
    </row>
    <row r="37" spans="1:22">
      <c r="A37" s="17">
        <v>14</v>
      </c>
      <c r="B37" t="s">
        <v>85</v>
      </c>
      <c r="K37" s="12">
        <v>10</v>
      </c>
      <c r="L37" s="73" t="s">
        <v>77</v>
      </c>
      <c r="M37" s="77">
        <f>M13/M22</f>
        <v>0.95222122733792347</v>
      </c>
      <c r="N37" s="77">
        <f t="shared" ref="N37:P37" si="8">N13/N22</f>
        <v>1.7291342701742065</v>
      </c>
      <c r="O37" s="77">
        <f t="shared" si="8"/>
        <v>2.1963229538140383</v>
      </c>
      <c r="P37" s="77">
        <f t="shared" si="8"/>
        <v>1.646599218249823</v>
      </c>
      <c r="Q37" s="86" t="s">
        <v>156</v>
      </c>
      <c r="R37" s="87"/>
      <c r="S37" s="87"/>
    </row>
    <row r="38" spans="1:22">
      <c r="A38" s="18">
        <v>15</v>
      </c>
      <c r="B38" t="s">
        <v>86</v>
      </c>
      <c r="K38" s="14">
        <v>11</v>
      </c>
      <c r="L38" s="73" t="s">
        <v>79</v>
      </c>
      <c r="M38" s="77">
        <f>M34/M9</f>
        <v>-39.978672273956143</v>
      </c>
      <c r="N38" s="77">
        <f t="shared" ref="N38:P38" si="9">N34/N9</f>
        <v>-14.414343477335603</v>
      </c>
      <c r="O38" s="77">
        <f t="shared" si="9"/>
        <v>5.5195450176225567</v>
      </c>
      <c r="P38" s="77">
        <f t="shared" si="9"/>
        <v>3.9276373147340888</v>
      </c>
      <c r="Q38" s="86" t="s">
        <v>157</v>
      </c>
    </row>
    <row r="39" spans="1:22">
      <c r="A39" s="19">
        <v>16</v>
      </c>
      <c r="B39" t="s">
        <v>88</v>
      </c>
      <c r="K39" s="15">
        <v>12</v>
      </c>
      <c r="L39" s="73" t="s">
        <v>80</v>
      </c>
      <c r="M39" s="77">
        <f>M29/((M30+N30)/2)</f>
        <v>-0.31121997573942561</v>
      </c>
      <c r="N39" s="77">
        <f t="shared" ref="N39:O39" si="10">N29/((N30+O30)/2)</f>
        <v>-2.9594555754739633E-2</v>
      </c>
      <c r="O39" s="77">
        <f t="shared" si="10"/>
        <v>1.36599821288964E-2</v>
      </c>
      <c r="P39" s="79"/>
      <c r="Q39" s="86" t="s">
        <v>158</v>
      </c>
      <c r="U39" s="86" t="s">
        <v>159</v>
      </c>
    </row>
    <row r="40" spans="1:22">
      <c r="A40" s="20">
        <v>17</v>
      </c>
      <c r="B40" t="s">
        <v>90</v>
      </c>
      <c r="K40" s="16">
        <v>13</v>
      </c>
      <c r="L40" s="73" t="s">
        <v>84</v>
      </c>
      <c r="M40" s="78">
        <f>M29/M32*-1</f>
        <v>-0.63425258249988625</v>
      </c>
      <c r="N40" s="78">
        <f>N29/N32*-1</f>
        <v>-0.213332745009948</v>
      </c>
      <c r="O40" s="78">
        <f t="shared" ref="O40" si="11">O29/O32</f>
        <v>-0.14709376736881288</v>
      </c>
      <c r="P40" s="79"/>
      <c r="Q40" s="86" t="s">
        <v>160</v>
      </c>
    </row>
    <row r="41" spans="1:22">
      <c r="A41" s="21">
        <v>18</v>
      </c>
      <c r="B41" t="s">
        <v>91</v>
      </c>
      <c r="K41" s="17">
        <v>14</v>
      </c>
      <c r="L41" s="73" t="s">
        <v>11</v>
      </c>
      <c r="M41" s="78">
        <f>M28/M30</f>
        <v>0.24383941355225658</v>
      </c>
      <c r="N41" s="78">
        <f t="shared" ref="N41:O41" si="12">N28/N30</f>
        <v>0.19427128081447045</v>
      </c>
      <c r="O41" s="78">
        <f t="shared" si="12"/>
        <v>0.21095194588220897</v>
      </c>
      <c r="P41" s="79"/>
      <c r="Q41" s="86" t="s">
        <v>161</v>
      </c>
    </row>
    <row r="42" spans="1:22">
      <c r="A42" s="22">
        <v>19</v>
      </c>
      <c r="B42" t="s">
        <v>92</v>
      </c>
      <c r="K42" s="18">
        <v>15</v>
      </c>
      <c r="L42" s="73" t="s">
        <v>87</v>
      </c>
      <c r="M42" s="78">
        <f>M29/M28</f>
        <v>-1.5935089109640797</v>
      </c>
      <c r="N42" s="78">
        <f>N29/N28</f>
        <v>-0.1643616741817148</v>
      </c>
      <c r="O42" s="78">
        <f>O29/O28</f>
        <v>7.0907115537770266E-2</v>
      </c>
      <c r="P42" s="79"/>
      <c r="Q42" s="86" t="s">
        <v>162</v>
      </c>
    </row>
    <row r="43" spans="1:22">
      <c r="A43" s="23">
        <v>20</v>
      </c>
      <c r="B43" t="s">
        <v>96</v>
      </c>
      <c r="K43" s="19">
        <v>16</v>
      </c>
      <c r="L43" s="73" t="s">
        <v>89</v>
      </c>
      <c r="M43">
        <f>M24/M18</f>
        <v>0.17473695538391551</v>
      </c>
      <c r="N43">
        <f t="shared" ref="N43:O43" si="13">N24/N18</f>
        <v>0.27404606889731331</v>
      </c>
      <c r="O43">
        <f t="shared" si="13"/>
        <v>0.40229094198743676</v>
      </c>
      <c r="P43" s="79"/>
      <c r="Q43" s="86" t="s">
        <v>164</v>
      </c>
    </row>
    <row r="44" spans="1:22">
      <c r="A44" s="24">
        <v>21</v>
      </c>
      <c r="B44" t="s">
        <v>97</v>
      </c>
      <c r="K44" s="20">
        <v>17</v>
      </c>
      <c r="L44" s="73" t="s">
        <v>93</v>
      </c>
      <c r="M44" s="78">
        <f>M5/((M17+N17)/2)</f>
        <v>4.6715422368293522</v>
      </c>
      <c r="N44" s="78">
        <f>N5/((N17+O17)/2)</f>
        <v>5.843142799607536</v>
      </c>
      <c r="O44" s="78">
        <f>O5/((O17+P17)/2)</f>
        <v>6.4317036620773624</v>
      </c>
      <c r="P44" s="79"/>
      <c r="Q44" s="86" t="s">
        <v>163</v>
      </c>
    </row>
    <row r="45" spans="1:22">
      <c r="A45" s="25">
        <v>22</v>
      </c>
      <c r="B45" t="s">
        <v>98</v>
      </c>
      <c r="K45" s="21">
        <v>18</v>
      </c>
      <c r="L45" s="73" t="s">
        <v>94</v>
      </c>
      <c r="M45" s="78">
        <f>M28/((M16+N16)/2)</f>
        <v>3.0586371733297257</v>
      </c>
      <c r="N45" s="78">
        <f t="shared" ref="N45:O45" si="14">N28/((N16+O16)/2)</f>
        <v>3.8415410186394396</v>
      </c>
      <c r="O45" s="78">
        <f t="shared" si="14"/>
        <v>4.2548776597691775</v>
      </c>
      <c r="P45" s="79"/>
      <c r="Q45" s="86" t="s">
        <v>165</v>
      </c>
    </row>
    <row r="46" spans="1:22">
      <c r="A46" s="26">
        <v>23</v>
      </c>
      <c r="B46" t="s">
        <v>102</v>
      </c>
      <c r="K46" s="22">
        <v>19</v>
      </c>
      <c r="L46" s="73" t="s">
        <v>95</v>
      </c>
      <c r="M46" s="78">
        <f>(M17-N17)/((M23+N23)/2)</f>
        <v>0.15327661921632688</v>
      </c>
      <c r="N46" s="78">
        <f t="shared" ref="N46:O46" si="15">(N17-O17)/((N23+O23)/2)</f>
        <v>-0.2148151961288994</v>
      </c>
      <c r="O46" s="78">
        <f t="shared" si="15"/>
        <v>0.30944591991428344</v>
      </c>
      <c r="P46" s="79"/>
      <c r="Q46" s="86" t="s">
        <v>166</v>
      </c>
      <c r="U46" t="s">
        <v>175</v>
      </c>
      <c r="V46" t="s">
        <v>176</v>
      </c>
    </row>
    <row r="47" spans="1:22">
      <c r="K47" s="23">
        <v>20</v>
      </c>
      <c r="L47" s="73" t="s">
        <v>99</v>
      </c>
      <c r="M47" s="80">
        <f>365/M44</f>
        <v>78.132655447792999</v>
      </c>
      <c r="N47" s="80">
        <f t="shared" ref="N47:O47" si="16">365/N44</f>
        <v>62.466383677036923</v>
      </c>
      <c r="O47" s="80">
        <f t="shared" si="16"/>
        <v>56.750127054533699</v>
      </c>
      <c r="P47" s="79"/>
      <c r="Q47" s="86" t="s">
        <v>167</v>
      </c>
    </row>
    <row r="48" spans="1:22">
      <c r="K48" s="24">
        <v>21</v>
      </c>
      <c r="L48" s="73" t="s">
        <v>100</v>
      </c>
      <c r="M48" s="80">
        <f>365/M45</f>
        <v>119.33419340570228</v>
      </c>
      <c r="N48" s="80">
        <f t="shared" ref="N48:O48" si="17">365/N45</f>
        <v>95.013953574618398</v>
      </c>
      <c r="O48" s="80">
        <f t="shared" si="17"/>
        <v>85.783900075707663</v>
      </c>
      <c r="P48" s="79"/>
      <c r="Q48" s="86" t="s">
        <v>168</v>
      </c>
    </row>
    <row r="49" spans="1:17" ht="17">
      <c r="K49" s="25">
        <v>22</v>
      </c>
      <c r="L49" s="73" t="s">
        <v>101</v>
      </c>
      <c r="M49" s="80">
        <f>365/M46</f>
        <v>2381.3155709342559</v>
      </c>
      <c r="N49" s="80">
        <f>365/N46</f>
        <v>-1699.1349149293076</v>
      </c>
      <c r="O49" s="80">
        <f t="shared" ref="O49" si="18">365/O46</f>
        <v>1179.5275895093562</v>
      </c>
      <c r="P49" s="79"/>
      <c r="Q49" s="88" t="s">
        <v>177</v>
      </c>
    </row>
    <row r="50" spans="1:17">
      <c r="K50" s="26">
        <v>23</v>
      </c>
      <c r="L50" s="73" t="s">
        <v>103</v>
      </c>
      <c r="M50" s="80">
        <f>M47+M48-M49</f>
        <v>-2183.8487220807606</v>
      </c>
      <c r="N50" s="80">
        <f>(N47+N48)+N49</f>
        <v>-1541.6545776776522</v>
      </c>
      <c r="O50" s="80">
        <f t="shared" ref="O50" si="19">O47+O48-O49</f>
        <v>-1036.9935623791148</v>
      </c>
      <c r="P50" s="79"/>
      <c r="Q50" s="86" t="s">
        <v>169</v>
      </c>
    </row>
    <row r="52" spans="1:17">
      <c r="A52" s="27">
        <v>24</v>
      </c>
      <c r="B52" t="s">
        <v>131</v>
      </c>
      <c r="K52" s="27">
        <v>24</v>
      </c>
      <c r="L52" s="73" t="s">
        <v>170</v>
      </c>
    </row>
    <row r="53" spans="1:17">
      <c r="A53" s="28">
        <v>25</v>
      </c>
      <c r="B53" t="s">
        <v>132</v>
      </c>
      <c r="K53" s="28">
        <v>25</v>
      </c>
      <c r="L53" s="73" t="s">
        <v>171</v>
      </c>
    </row>
    <row r="54" spans="1:17">
      <c r="A54" s="28"/>
      <c r="B54" t="s">
        <v>133</v>
      </c>
      <c r="K54" s="28"/>
      <c r="L54" s="73" t="s">
        <v>172</v>
      </c>
    </row>
    <row r="55" spans="1:17">
      <c r="A55" s="28"/>
      <c r="B55" t="s">
        <v>134</v>
      </c>
      <c r="K55" s="28"/>
    </row>
    <row r="56" spans="1:17">
      <c r="A56" s="28"/>
      <c r="B56" t="s">
        <v>104</v>
      </c>
      <c r="K56" s="28"/>
      <c r="L56" s="73" t="s">
        <v>173</v>
      </c>
    </row>
    <row r="57" spans="1:17">
      <c r="A57" s="4">
        <v>26</v>
      </c>
      <c r="B57" t="s">
        <v>135</v>
      </c>
      <c r="K57" s="4">
        <v>26</v>
      </c>
      <c r="L57" s="73" t="s">
        <v>174</v>
      </c>
    </row>
    <row r="58" spans="1:17">
      <c r="A58" s="5">
        <v>27</v>
      </c>
      <c r="B58" t="s">
        <v>136</v>
      </c>
      <c r="K58" s="5">
        <v>27</v>
      </c>
      <c r="L58" s="73" t="s">
        <v>178</v>
      </c>
    </row>
    <row r="59" spans="1:17">
      <c r="A59" s="6">
        <v>28</v>
      </c>
      <c r="B59" t="s">
        <v>137</v>
      </c>
      <c r="K59" s="6">
        <v>28</v>
      </c>
      <c r="L59" s="81" t="s">
        <v>179</v>
      </c>
    </row>
    <row r="60" spans="1:17">
      <c r="A60" s="7">
        <v>29</v>
      </c>
      <c r="B60" t="s">
        <v>138</v>
      </c>
      <c r="K60" s="7">
        <v>29</v>
      </c>
      <c r="L60" s="73" t="s">
        <v>180</v>
      </c>
    </row>
    <row r="61" spans="1:17">
      <c r="A61" s="16">
        <v>30</v>
      </c>
      <c r="B61" t="s">
        <v>139</v>
      </c>
      <c r="K61" s="16">
        <v>30</v>
      </c>
      <c r="L61" s="73" t="s">
        <v>181</v>
      </c>
    </row>
    <row r="62" spans="1:17">
      <c r="A62" s="13"/>
    </row>
    <row r="63" spans="1:17">
      <c r="K63" s="13"/>
    </row>
    <row r="65" spans="1:11">
      <c r="K65" s="13"/>
    </row>
    <row r="67" spans="1:11">
      <c r="K67" s="82"/>
    </row>
    <row r="69" spans="1:11">
      <c r="K69" s="13"/>
    </row>
    <row r="70" spans="1:11">
      <c r="A70" s="8">
        <v>31</v>
      </c>
      <c r="B70" t="s">
        <v>126</v>
      </c>
      <c r="F70" t="s">
        <v>140</v>
      </c>
      <c r="G70" s="84" t="s">
        <v>141</v>
      </c>
    </row>
    <row r="71" spans="1:11">
      <c r="A71" s="9">
        <v>32</v>
      </c>
      <c r="B71" t="s">
        <v>110</v>
      </c>
      <c r="D71" t="s">
        <v>182</v>
      </c>
    </row>
    <row r="72" spans="1:11">
      <c r="A72" s="10">
        <v>33</v>
      </c>
      <c r="B72" t="s">
        <v>111</v>
      </c>
      <c r="D72" t="s">
        <v>183</v>
      </c>
    </row>
    <row r="73" spans="1:11">
      <c r="A73" s="11">
        <v>34</v>
      </c>
      <c r="B73" t="s">
        <v>112</v>
      </c>
      <c r="D73" t="s">
        <v>184</v>
      </c>
      <c r="K73" s="13"/>
    </row>
    <row r="76" spans="1:11">
      <c r="K76" s="13"/>
    </row>
    <row r="77" spans="1:11">
      <c r="K77" s="13"/>
    </row>
    <row r="78" spans="1:11">
      <c r="K78" s="13"/>
    </row>
  </sheetData>
  <phoneticPr fontId="20"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Honor Code Statement</vt:lpstr>
      <vt:lpstr>Instruction</vt:lpstr>
      <vt:lpstr>Problem 1</vt:lpstr>
      <vt:lpstr>Problem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Krislert Samphantharak</dc:creator>
  <cp:lastModifiedBy>Agunias, Edgar</cp:lastModifiedBy>
  <dcterms:created xsi:type="dcterms:W3CDTF">2025-02-10T21:21:06Z</dcterms:created>
  <dcterms:modified xsi:type="dcterms:W3CDTF">2026-02-12T22:05:09Z</dcterms:modified>
</cp:coreProperties>
</file>