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201"/>
  <workbookPr defaultThemeVersion="166925"/>
  <mc:AlternateContent xmlns:mc="http://schemas.openxmlformats.org/markup-compatibility/2006">
    <mc:Choice Requires="x15">
      <x15ac:absPath xmlns:x15ac="http://schemas.microsoft.com/office/spreadsheetml/2010/11/ac" url="/Users/edgar/Documents/01 Projects/GPCO 415 - Acct:Finance for PolicyMakers - Samphantharak/Assignments/Assignment 3/"/>
    </mc:Choice>
  </mc:AlternateContent>
  <xr:revisionPtr revIDLastSave="0" documentId="13_ncr:1_{5C44941D-AFA4-BE4E-B78A-7F72F3831693}" xr6:coauthVersionLast="47" xr6:coauthVersionMax="47" xr10:uidLastSave="{00000000-0000-0000-0000-000000000000}"/>
  <bookViews>
    <workbookView xWindow="0" yWindow="660" windowWidth="29400" windowHeight="18460" xr2:uid="{00CBA464-7623-BD43-B704-7C2CEE3A3504}"/>
  </bookViews>
  <sheets>
    <sheet name="Problem 1 (W23) (Required)" sheetId="12" r:id="rId1"/>
    <sheet name="Problem 2 (W24) (Optional)" sheetId="13" r:id="rId2"/>
    <sheet name="Problem3 (W24) (Optional)" sheetId="14" r:id="rId3"/>
    <sheet name="Problem 4 (W24) (Optional)" sheetId="15" r:id="rId4"/>
    <sheet name="Problem 5 (Optional)" sheetId="8" r:id="rId5"/>
    <sheet name="Problem 6 (Optional)" sheetId="6" r:id="rId6"/>
    <sheet name="Problem 7 (Optional)" sheetId="10" r:id="rId7"/>
    <sheet name="Problem 8 (Optional)" sheetId="9" r:id="rId8"/>
    <sheet name="Problem 9 (Optional)" sheetId="11" r:id="rId9"/>
    <sheet name="Problem 10 (Optional)" sheetId="2" r:id="rId10"/>
    <sheet name="Problem 11 (Optional)" sheetId="5" r:id="rId1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S38" i="12" l="1"/>
  <c r="R38" i="12"/>
  <c r="Q38" i="12"/>
  <c r="S32" i="12"/>
  <c r="R32" i="12"/>
  <c r="Q32" i="12"/>
  <c r="R30" i="12"/>
  <c r="Q30" i="12"/>
  <c r="R29" i="12"/>
  <c r="S29" i="12"/>
  <c r="Q29" i="12"/>
  <c r="R28" i="12"/>
  <c r="S28" i="12"/>
  <c r="Q28" i="12"/>
  <c r="R27" i="12"/>
  <c r="S27" i="12"/>
  <c r="Q27" i="12"/>
  <c r="R26" i="12"/>
  <c r="S26" i="12"/>
  <c r="Q26" i="12"/>
  <c r="S37" i="12"/>
  <c r="R37" i="12"/>
  <c r="Q37" i="12"/>
  <c r="S36" i="12"/>
  <c r="R36" i="12"/>
  <c r="Q36" i="12"/>
  <c r="S35" i="12"/>
  <c r="R35" i="12"/>
  <c r="Q35" i="12"/>
  <c r="S34" i="12"/>
  <c r="R34" i="12"/>
  <c r="Q34" i="12"/>
  <c r="S33" i="12"/>
  <c r="R33" i="12"/>
  <c r="Q33" i="12"/>
  <c r="R31" i="12"/>
  <c r="Q31" i="12"/>
</calcChain>
</file>

<file path=xl/sharedStrings.xml><?xml version="1.0" encoding="utf-8"?>
<sst xmlns="http://schemas.openxmlformats.org/spreadsheetml/2006/main" count="692" uniqueCount="483">
  <si>
    <t>Assets</t>
  </si>
  <si>
    <t>Liabilities</t>
  </si>
  <si>
    <t>Equities</t>
  </si>
  <si>
    <t>Item</t>
  </si>
  <si>
    <t>Increase/Decrease</t>
  </si>
  <si>
    <t>Amount</t>
  </si>
  <si>
    <t>Example</t>
  </si>
  <si>
    <t>On Jan 1, the owner of Friendly Flower Farm contributed $2,000 of his money to the business.</t>
  </si>
  <si>
    <t>Cash</t>
  </si>
  <si>
    <t>Increase</t>
  </si>
  <si>
    <t>Contributed capital</t>
  </si>
  <si>
    <t>On Jan 3, the owner of Friendly Flower Farm contributed his own land to the business. The land was worth $20,000.</t>
  </si>
  <si>
    <t>Land</t>
  </si>
  <si>
    <t>On Jan 5, Friendly Flower Farm used cash to purchase equipment necessary for flower farming. The total purchase was worth $1,000.</t>
  </si>
  <si>
    <t>Decrease</t>
  </si>
  <si>
    <t>On Jan 6, Friendly Flower Farm purchased flower seeds and fertilizer from a local retail shop. The purchase was worth $500 and the farm would later pay cash to the seller on February 5.</t>
  </si>
  <si>
    <t>Inventory</t>
  </si>
  <si>
    <t>Accounts payable</t>
  </si>
  <si>
    <t>On Jan 10, Friendly Flower Farm hired a worker to plant the flower seeds. The worker used all of the seeds and fertilizer in this activity. The farm paid the worker on the same day $30.</t>
  </si>
  <si>
    <t>On Jan 11, Friendly Flower Farm got a short-term loan from a local moneylender. The loan value was $1500.</t>
  </si>
  <si>
    <t>On Jan 12, Friendly Flower Farm purchased a smart phone with add-on accessories specifically designed for flower growing business. The phone and accessories costed $2,200 and were paid in cash.</t>
  </si>
  <si>
    <t>On Jan 28, Friendly Flower Farm got a 24-month loan from the Bank for Agriculture. The loan value was $1,500 and interest-free. The farm had to repay $500 to the Bank within 18 months and repay another $1,000 within 24 months.</t>
  </si>
  <si>
    <t>On Jan 29, Friendly Flower Farm paid back the loan to the moneylender. The payment was $1,600 in total, with $1,500 as the principle repayment and $100 as the interest expense.</t>
  </si>
  <si>
    <t>Retained earnings</t>
  </si>
  <si>
    <t>On Jan 31, Friendly Flower Farm paid $10 for electricity. The payment was made in cash.</t>
  </si>
  <si>
    <t>Balance Sheet as of:</t>
  </si>
  <si>
    <t>Janurary 31</t>
  </si>
  <si>
    <t>Other current assets</t>
  </si>
  <si>
    <t>Plant, property, and equipment</t>
  </si>
  <si>
    <t>Other assets</t>
  </si>
  <si>
    <t>Total assets</t>
  </si>
  <si>
    <t>Current liabilities</t>
  </si>
  <si>
    <t>Long-term loans</t>
  </si>
  <si>
    <t>Total liabilities</t>
  </si>
  <si>
    <t>Total owner's equities</t>
  </si>
  <si>
    <t>Verify that total assets = total liabilities + total owner's equities</t>
  </si>
  <si>
    <t>Compute the current ratio of Friendly Flower Farm. Is it above 1?</t>
  </si>
  <si>
    <t>Compute the quick ratio of Friendly Flower Farm. Is it above 1?</t>
  </si>
  <si>
    <t>Based on the financial situation as of January 31, will Friendly Flower Farm have enough liquidity to repay the seeds and fertilizer shop on February 5?</t>
  </si>
  <si>
    <t>Total Current Assets</t>
  </si>
  <si>
    <t>Long Term Investments</t>
  </si>
  <si>
    <t>Total Assets</t>
  </si>
  <si>
    <t>Accounts Payable</t>
  </si>
  <si>
    <t>Total Current Liabilities</t>
  </si>
  <si>
    <t>Total Liabilities</t>
  </si>
  <si>
    <t>Interest Expense</t>
  </si>
  <si>
    <t>Income Before Tax</t>
  </si>
  <si>
    <t>Income Tax Expense</t>
  </si>
  <si>
    <t>Net Income</t>
  </si>
  <si>
    <t>Average tax rate</t>
  </si>
  <si>
    <t>Quarterly Income Statement</t>
  </si>
  <si>
    <t>Annual Income Statement</t>
  </si>
  <si>
    <t>Period Ending:</t>
  </si>
  <si>
    <t>Total Revenue</t>
  </si>
  <si>
    <t>Gross Profit</t>
  </si>
  <si>
    <t>Research &amp; Development</t>
  </si>
  <si>
    <t>Operating Income</t>
  </si>
  <si>
    <t>Quarterly Balance Sheet</t>
  </si>
  <si>
    <t>Annual Balance Sheet</t>
  </si>
  <si>
    <t>As of:</t>
  </si>
  <si>
    <t>Cash and Short Term Investments</t>
  </si>
  <si>
    <t>Accounts Receivable</t>
  </si>
  <si>
    <t>Total Inventory</t>
  </si>
  <si>
    <t>Prepaid Expenses</t>
  </si>
  <si>
    <t>Accrued Expenses</t>
  </si>
  <si>
    <t>Total Equity</t>
  </si>
  <si>
    <t>Data</t>
  </si>
  <si>
    <t>New equity issued</t>
  </si>
  <si>
    <t>Part 1: Answer how each of the following transactions enter the balance sheet of "College/Storage" during the first year of its operation (January 1-December 31, 2014).</t>
  </si>
  <si>
    <t>Socheata's Equity</t>
  </si>
  <si>
    <t>Example A</t>
  </si>
  <si>
    <t>On May 1, each of the three founders contributed $1,500 to the business and deposit the money at Chase Bank.</t>
  </si>
  <si>
    <t>Paid-in capital</t>
  </si>
  <si>
    <t>Example B</t>
  </si>
  <si>
    <t>On May 2, they spent $400 to purchase a smartphone and a SIM card for their business.</t>
  </si>
  <si>
    <t>Equipment</t>
  </si>
  <si>
    <t>On May 15, they borrowed $1,000 from Joe's girlfriend, Jill, with a promise to repay on September 15.</t>
  </si>
  <si>
    <t>On June 1, they paid $300 in cash for three-month rent in advance, i.e. $100 per month. The rent will expire on August 31.</t>
  </si>
  <si>
    <t>On June 9, they paid $150, using credit card, to rent a pick up truck from Alamo Rent-A-Car for a week.</t>
  </si>
  <si>
    <t>On June 10, they paid $120 in cash for a smartphone service package.</t>
  </si>
  <si>
    <t>During June 10-15, they paid $3,000 in cash to purchase various items of disposed furniture to be put in storage.</t>
  </si>
  <si>
    <t>During June 10-15, they use the truck to transport disposed furniture to the storage.</t>
  </si>
  <si>
    <t>On June 15, they paid $200 to  undergraduate students who helped them load furniture from the campus and unload to the storage facility.</t>
  </si>
  <si>
    <t>On June 16, they paid $50 for gasoline for their pick up truck with credit card.</t>
  </si>
  <si>
    <t>On June 31, one month of the prepaid rental storage facility has been used up.</t>
  </si>
  <si>
    <t>On July 20, they paid $200 credit card bill.</t>
  </si>
  <si>
    <t>On July 31, another month of the prepaid rental storage facility has been used up.</t>
  </si>
  <si>
    <t>On August 17-31, they rent a pick up truck from Jim's cousin and use it to deliver furniture for two weeks. The rent is $200 in total, with a promise to pay the rent at the end of September.</t>
  </si>
  <si>
    <t>On August 17, they paid $200 in advance to hire undergrad students to help them load  furniture from the storage facility and deliver it to the purchasers on campus.</t>
  </si>
  <si>
    <t>They received the service performed by the undergraduates during Auguest 17-31.</t>
  </si>
  <si>
    <t>During August 17-31, they sold or gave away all furniture to new students and get $6,000 in cash and $1,500 on credit, to be paid on September 30.</t>
  </si>
  <si>
    <t>On August 31, the last month of the prepaid rental storage facility has been used up.</t>
  </si>
  <si>
    <t>On September 30, they received $1,000  payment of the previous sales of credit. The other $500 could not be recovered.</t>
  </si>
  <si>
    <t>On September 30, they repaid $200 to Jim's cousin for the truck rental.</t>
  </si>
  <si>
    <t>On September 15, they gave Jill $1,050 as the repayment for the loan ($1,000) and the interest ($50).</t>
  </si>
  <si>
    <t>On September 30, they take out $500 each as dividend for their business venture. The keep the rest of cash in the deposit account at Chase Bank for next year operation.</t>
  </si>
  <si>
    <t>Part 2: Fill in the balance sheet for College/Storage as of December 31, 2014</t>
  </si>
  <si>
    <t>Liabilities &amp; Owner's Equity</t>
  </si>
  <si>
    <t>20. Cash</t>
  </si>
  <si>
    <t>26. Accounts payable</t>
  </si>
  <si>
    <t>21. Accounts receivable</t>
  </si>
  <si>
    <t>27. Other short-term loan</t>
  </si>
  <si>
    <t>22. Inventory</t>
  </si>
  <si>
    <t>28. Total liabilities</t>
  </si>
  <si>
    <t>23. Prepaid expense</t>
  </si>
  <si>
    <t>29. Paid-in capital</t>
  </si>
  <si>
    <t>24. Property, plant, and equipment</t>
  </si>
  <si>
    <t>30. Retained earnings</t>
  </si>
  <si>
    <t>25. Total assets</t>
  </si>
  <si>
    <t>31. Owner's equity</t>
  </si>
  <si>
    <t>What was the value of PPE of College/Storage as of December 31, 2014? Does it sensible? Why or why not?</t>
  </si>
  <si>
    <t>What were the value of current assets and current liabilities of College/Storage as of December 31, 2014? Does it sensible? Why or why not?</t>
  </si>
  <si>
    <t>How much does each of the new partners have to contribute to the business so that all six partners have equal ownership of College/Storage? What item(s) in the balance sheet of College/Storage will this contribution be recorded?</t>
  </si>
  <si>
    <t>Is the contribution from each of the new partners higher or lower than the initial contribution from each of the original partners? Does that make sense? Why?</t>
  </si>
  <si>
    <t>What would be the value of total owners' equity of College/Storage after the fundraising?</t>
  </si>
  <si>
    <t>EXTRA: Income Statement and Statement of Shareholders' Equity for College/Storage (Period: January 1-December 31, 2014)</t>
  </si>
  <si>
    <t>Income Statement</t>
  </si>
  <si>
    <t>Revenue from sales and services</t>
  </si>
  <si>
    <t>Cost of goods sold</t>
  </si>
  <si>
    <t>Gross margin</t>
  </si>
  <si>
    <t>Other expenses</t>
  </si>
  <si>
    <t>EBIT</t>
  </si>
  <si>
    <t>Interest expense</t>
  </si>
  <si>
    <t>EBT</t>
  </si>
  <si>
    <t>Income tax</t>
  </si>
  <si>
    <t>Net income</t>
  </si>
  <si>
    <t>Statement of Shareholders' Equity</t>
  </si>
  <si>
    <t>Contributed capital (Paid-in capital)</t>
  </si>
  <si>
    <t>Beginning of period retained earnings</t>
  </si>
  <si>
    <t xml:space="preserve">    Plus net income</t>
  </si>
  <si>
    <t xml:space="preserve">    Minus dividend</t>
  </si>
  <si>
    <t>End of period retained earnings</t>
  </si>
  <si>
    <t>Total equity</t>
  </si>
  <si>
    <t>All numbers in domestic currency.</t>
  </si>
  <si>
    <t>Household A</t>
  </si>
  <si>
    <t>Household B</t>
  </si>
  <si>
    <t>Household C</t>
  </si>
  <si>
    <t>Financial information as of June 30, 2013</t>
  </si>
  <si>
    <t>Cash in hand and deposit at banks</t>
  </si>
  <si>
    <t>Other short-term lending to others</t>
  </si>
  <si>
    <t>Property, plant, and equipment</t>
  </si>
  <si>
    <t>Long-term borrowing from others</t>
  </si>
  <si>
    <t>MONTHLY Financial information during June 1-June 30, 2013</t>
  </si>
  <si>
    <t>Revenue from sales</t>
  </si>
  <si>
    <t>Other income (expense)</t>
  </si>
  <si>
    <t>Withdrawal of owner's equity (i.e., dividends)</t>
  </si>
  <si>
    <t>Compute the following financial items.</t>
  </si>
  <si>
    <t>Total assets as of June 30, 2013</t>
  </si>
  <si>
    <t>Total liabilities as of June 30, 2013</t>
  </si>
  <si>
    <t>Retained earnings as of June 30, 2013</t>
  </si>
  <si>
    <t>Net income during the month of June 2013</t>
  </si>
  <si>
    <t>Monthly rate of return on assets for June 2013</t>
  </si>
  <si>
    <t>Monthly rate of return on equity for June 2013</t>
  </si>
  <si>
    <t>Retained earnings as of May 31, 2013</t>
  </si>
  <si>
    <t>Asset turnover ratio during June 2013</t>
  </si>
  <si>
    <t>Profit margin for June 2013</t>
  </si>
  <si>
    <t>Which household is a moneylender? Why?</t>
  </si>
  <si>
    <t>Table 1 Selected Items from Financial Statements of Two Companies (in Million Local Currency)</t>
  </si>
  <si>
    <t>Scenario:</t>
  </si>
  <si>
    <t>(A)</t>
  </si>
  <si>
    <t>(B)</t>
  </si>
  <si>
    <t>Compute the total shareholders' equity of this enterprise.</t>
  </si>
  <si>
    <t>Cost of Goods and Services Sold</t>
  </si>
  <si>
    <t>Using the end-of-period shareholders' total equity, compute the return on equity of this enterprise.</t>
  </si>
  <si>
    <t>Total Operating Expenses</t>
  </si>
  <si>
    <t>Compute the average tax rate of the enterprise.</t>
  </si>
  <si>
    <t>Operating Income or Loss</t>
  </si>
  <si>
    <t>Compute the tax retention rate of the enterprise.</t>
  </si>
  <si>
    <t>Earnings Before Interest and Taxes</t>
  </si>
  <si>
    <t>Compute the financial leverage ratio, defined as the end-of-period total assets to end-of-period total equity ratio.</t>
  </si>
  <si>
    <t>Using the end-of-period total assets, compute the asset turnover ratio of the enterprise.</t>
  </si>
  <si>
    <t>Compute the pre-tax profit margin of the enterprise.</t>
  </si>
  <si>
    <r>
      <t xml:space="preserve">Verify that the return on equity can be decomposed into a product of the ratios computed in </t>
    </r>
    <r>
      <rPr>
        <b/>
        <sz val="12"/>
        <color theme="1"/>
        <rFont val="Calibri"/>
        <family val="2"/>
        <scheme val="minor"/>
      </rPr>
      <t>Questions 4 to 7</t>
    </r>
    <r>
      <rPr>
        <sz val="12"/>
        <color theme="1"/>
        <rFont val="Calibri"/>
        <family val="2"/>
        <scheme val="minor"/>
      </rPr>
      <t>.</t>
    </r>
  </si>
  <si>
    <t>On average, for each $1 of equity invested in this enterprise, how much (in $ value) does this investment</t>
  </si>
  <si>
    <t>generate to the shareholders?</t>
  </si>
  <si>
    <t>On average, for each $1 generated by sales, how much is the pre-tax profit the enterprise makes?</t>
  </si>
  <si>
    <t>This enterprise spends a large amount of money on advertisement and R&amp;D. Is this additional information</t>
  </si>
  <si>
    <t>Income before tax</t>
  </si>
  <si>
    <t>Income tax expense, assuming that the average tax rate remained the same as in Scenario (A)</t>
  </si>
  <si>
    <t>Return on equity</t>
  </si>
  <si>
    <t>Is the net income in Scenario (B) higher or lower than in Scenario (A)? Why?</t>
  </si>
  <si>
    <t>Is the ROE in Scenario (B) higher or lower than in Scenario (A)? Is this finding contradictory to what you</t>
  </si>
  <si>
    <r>
      <t xml:space="preserve">find in </t>
    </r>
    <r>
      <rPr>
        <b/>
        <sz val="12"/>
        <color theme="1"/>
        <rFont val="Calibri"/>
        <family val="2"/>
        <scheme val="minor"/>
      </rPr>
      <t>Question 17</t>
    </r>
    <r>
      <rPr>
        <sz val="12"/>
        <color theme="1"/>
        <rFont val="Calibri"/>
        <family val="2"/>
        <scheme val="minor"/>
      </rPr>
      <t>? Why or why not?</t>
    </r>
  </si>
  <si>
    <t>Is higher leverage always increase or always decrease ROE? Why or why not?</t>
  </si>
  <si>
    <t>Explain briefly, in words, how access to credit (loans) can help reduce the poverty faced by households running SMEs</t>
  </si>
  <si>
    <t>in developing economies.</t>
  </si>
  <si>
    <r>
      <t xml:space="preserve">Table 1 Selected Items from </t>
    </r>
    <r>
      <rPr>
        <b/>
        <u/>
        <sz val="12"/>
        <color theme="1"/>
        <rFont val="Calibri"/>
        <family val="2"/>
      </rPr>
      <t>Annual</t>
    </r>
    <r>
      <rPr>
        <b/>
        <sz val="12"/>
        <color theme="1"/>
        <rFont val="Calibri"/>
        <family val="2"/>
      </rPr>
      <t xml:space="preserve"> Financial Statements (Million US Dollars)</t>
    </r>
  </si>
  <si>
    <t>Year Ending:</t>
  </si>
  <si>
    <t>March 2</t>
  </si>
  <si>
    <t>March 3</t>
  </si>
  <si>
    <t>February 25</t>
  </si>
  <si>
    <t>February 27</t>
  </si>
  <si>
    <t>Revenue</t>
  </si>
  <si>
    <t>Cost of Revenue</t>
  </si>
  <si>
    <t>Selling/General/Administrative Expenses</t>
  </si>
  <si>
    <t>Income Before Taxes</t>
  </si>
  <si>
    <t>Income Taxes</t>
  </si>
  <si>
    <t>Explain your reason shortly.</t>
  </si>
  <si>
    <t>(A) Legal services</t>
  </si>
  <si>
    <t>(B) Home decoration accessories</t>
  </si>
  <si>
    <t>(C) Postal delivery</t>
  </si>
  <si>
    <t>(D) Website designing</t>
  </si>
  <si>
    <t>Accounts Receivables</t>
  </si>
  <si>
    <t>Compute the net property, plant, and equipment for each year. Fill in the respective cells in Table 1.</t>
  </si>
  <si>
    <t>Compute the total shareholder's equities for each year. Fill in the respective cells in Table 1.</t>
  </si>
  <si>
    <t>Compute the net income of the company for each year. Fill in the respective cells in Table 1.</t>
  </si>
  <si>
    <t>Property/Plant/Equipment - At Acquisition</t>
  </si>
  <si>
    <t>If we only look at the revenue of the company over time, explain why we can say that this company was in trouble.</t>
  </si>
  <si>
    <t>Accumulated Depreciation</t>
  </si>
  <si>
    <t>If we only look at the net income of the company over time, explain why we can say that this company was in trouble.</t>
  </si>
  <si>
    <t>Other Long Term Assets</t>
  </si>
  <si>
    <t>Current Portion of Long Term Debt</t>
  </si>
  <si>
    <t>Other Current liabilities</t>
  </si>
  <si>
    <t>Total Long Term Debt</t>
  </si>
  <si>
    <t>Compute the rate of return on equity for each year. Fill in the respective cells in Table 1.</t>
  </si>
  <si>
    <t>Other Liabilities</t>
  </si>
  <si>
    <t>Compute the average tax rate for each year. Fill in the respective cells in Table 1.</t>
  </si>
  <si>
    <t>Compute the tax retention rate for each year. Fill in the respective cells in Table 1.</t>
  </si>
  <si>
    <t>Property/Plant/Equipment - Net</t>
  </si>
  <si>
    <t>Compute the pretax profit margin for each year. Fill in the respective cells in Table 1.</t>
  </si>
  <si>
    <t>Total Shareholder's Equitiies</t>
  </si>
  <si>
    <t>Compute the asset turnover ratio for each year. Fill in the respective cells in Table 1.</t>
  </si>
  <si>
    <t>Compute the finanicial leverage ratio, defined as the total asset to total equity ratio, for each year.</t>
  </si>
  <si>
    <t>Return on Equity</t>
  </si>
  <si>
    <t>Fill in the respective cells in Table 1.</t>
  </si>
  <si>
    <t>Average Tax Rate</t>
  </si>
  <si>
    <t>Verify that the return on equity is equal to the product of the tax retention rate, the pretax profit margin,</t>
  </si>
  <si>
    <t>Tax Retention Rate</t>
  </si>
  <si>
    <t>the asset turnover ratio, and the financial leverage ratio.</t>
  </si>
  <si>
    <t>Pretax Profit Margin</t>
  </si>
  <si>
    <t>If we only look at the return on equity over time, explain why we can say that this company was in trouble.</t>
  </si>
  <si>
    <t>Asset Turnover Ratio</t>
  </si>
  <si>
    <t>Financial Leverage Ratio</t>
  </si>
  <si>
    <t>(A) The company utilized its assets less effiently over time.</t>
  </si>
  <si>
    <t>Verification of ROE Decomposion</t>
  </si>
  <si>
    <t>(B) The company's ability to generate profit from sales decline over time.</t>
  </si>
  <si>
    <t>(C) Both A and B are correct.</t>
  </si>
  <si>
    <t>(D) Neither A nor B are correct.</t>
  </si>
  <si>
    <t>First, using the data from 2019, compute a new financial ratio from "Cash and Short Term Investments"</t>
  </si>
  <si>
    <t>devided by "Operating Loss". Note that "Operating Loss" is equal to "Operating Income" when it is negative.</t>
  </si>
  <si>
    <r>
      <t xml:space="preserve">Explain intuitively why the new ratio you compute in </t>
    </r>
    <r>
      <rPr>
        <b/>
        <sz val="12"/>
        <color theme="1"/>
        <rFont val="Calibri"/>
        <family val="2"/>
        <scheme val="minor"/>
      </rPr>
      <t>question 16</t>
    </r>
    <r>
      <rPr>
        <sz val="12"/>
        <color theme="1"/>
        <rFont val="Calibri"/>
        <family val="2"/>
        <scheme val="minor"/>
      </rPr>
      <t xml:space="preserve"> can provide an insight on how long </t>
    </r>
  </si>
  <si>
    <t>the company could survive.</t>
  </si>
  <si>
    <t>Second, using the data from 2019, compute another financial ratio from "Cash and Short Term Investments"</t>
  </si>
  <si>
    <t>devided by "Selling/General/Administrative Expenses".</t>
  </si>
  <si>
    <r>
      <t xml:space="preserve">Explain intuitively why the new ratio you compute in </t>
    </r>
    <r>
      <rPr>
        <b/>
        <sz val="12"/>
        <color theme="1"/>
        <rFont val="Calibri"/>
        <family val="2"/>
        <scheme val="minor"/>
      </rPr>
      <t>question 18</t>
    </r>
    <r>
      <rPr>
        <sz val="12"/>
        <color theme="1"/>
        <rFont val="Calibri"/>
        <family val="2"/>
        <scheme val="minor"/>
      </rPr>
      <t xml:space="preserve"> can provide an insight on how long</t>
    </r>
  </si>
  <si>
    <t>Do you think that COVID-19 was a reason for the company to go out of business? Why or why not?</t>
  </si>
  <si>
    <t>Asset turnover ratio</t>
  </si>
  <si>
    <t>Fiscal Year 2010</t>
  </si>
  <si>
    <t>Company X</t>
  </si>
  <si>
    <t>Company Y</t>
  </si>
  <si>
    <t>Cash and cash equivalents</t>
  </si>
  <si>
    <t>Accounts receivable and other current assets</t>
  </si>
  <si>
    <t>Merchandise inventories</t>
  </si>
  <si>
    <t>Property and equipment, net</t>
  </si>
  <si>
    <t>Other long-term assets</t>
  </si>
  <si>
    <t>Short-term borrowings and current portion of long-term debt</t>
  </si>
  <si>
    <t>Accrued payroll and other liabilities</t>
  </si>
  <si>
    <t>Long-term debt</t>
  </si>
  <si>
    <t>Other long-term liabilities</t>
  </si>
  <si>
    <t>Total revenue from sales</t>
  </si>
  <si>
    <t>Cost of merchandise sold</t>
  </si>
  <si>
    <t>Selling, general and administrative expenses</t>
  </si>
  <si>
    <t>Interest expenses</t>
  </si>
  <si>
    <t>Tax expenses</t>
  </si>
  <si>
    <t>Part 1: Compute the following items for each company</t>
  </si>
  <si>
    <t>Total current assets</t>
  </si>
  <si>
    <t>Total current liabilities</t>
  </si>
  <si>
    <t>Total shareholder's equity</t>
  </si>
  <si>
    <t>Earnings before interest and taxes (EBIT)</t>
  </si>
  <si>
    <t>Earnings before taxes (EBT)</t>
  </si>
  <si>
    <t>Part 2: Compute the following financial ratios for each company</t>
  </si>
  <si>
    <t>Total liabilities to total assets ratio</t>
  </si>
  <si>
    <t>Interest coverage ratio</t>
  </si>
  <si>
    <t>Return on equity (ROE)</t>
  </si>
  <si>
    <t>Return on assets (ROA)</t>
  </si>
  <si>
    <t>Part 3: Answer the following questions</t>
  </si>
  <si>
    <t>Which company has higher ROE? Was the company with higher ROE financially better than the company with lower ROE from the perspective of the shareholders?</t>
  </si>
  <si>
    <t>What ratio(s) that Company X outperformed Company Y?</t>
  </si>
  <si>
    <t>Which company went bankrupt? Which company survived?</t>
  </si>
  <si>
    <r>
      <t xml:space="preserve">Give </t>
    </r>
    <r>
      <rPr>
        <u/>
        <sz val="12"/>
        <color theme="1"/>
        <rFont val="Calibri (Body)"/>
      </rPr>
      <t>two</t>
    </r>
    <r>
      <rPr>
        <sz val="12"/>
        <color theme="1"/>
        <rFont val="Calibri"/>
        <family val="2"/>
        <scheme val="minor"/>
      </rPr>
      <t xml:space="preserve"> reasons that justify your answer in Question 20.</t>
    </r>
  </si>
  <si>
    <t>Among the following four industries, which one did these two companies belong? (a) Social media companies, (b) Retail bookstores, (c) Advertising agencies, OR (d) Insurance companies. Why?</t>
  </si>
  <si>
    <t>Table 1 Selected Items from Quarterly Financial Statements (Million US Dollars)</t>
  </si>
  <si>
    <t>Company A</t>
  </si>
  <si>
    <t>Company B</t>
  </si>
  <si>
    <t>Quarterly Ending:</t>
  </si>
  <si>
    <t>Selling/General/Admin. Expenses</t>
  </si>
  <si>
    <t>Based on information in the financial statements, give one indication that tells you that these</t>
  </si>
  <si>
    <r>
      <t xml:space="preserve">two companies are operating in the </t>
    </r>
    <r>
      <rPr>
        <b/>
        <u/>
        <sz val="12"/>
        <color theme="1"/>
        <rFont val="Calibri (Body)"/>
      </rPr>
      <t>service</t>
    </r>
    <r>
      <rPr>
        <sz val="12"/>
        <color theme="1"/>
        <rFont val="Calibri"/>
        <family val="2"/>
        <scheme val="minor"/>
      </rPr>
      <t xml:space="preserve"> industry.</t>
    </r>
  </si>
  <si>
    <t>Other Income, Net</t>
  </si>
  <si>
    <t>Which of the following services these two companies provide? Why?</t>
  </si>
  <si>
    <t>(A) Divorce counseling</t>
  </si>
  <si>
    <t>(B) Tax filing preparation</t>
  </si>
  <si>
    <t>(C) Gambling</t>
  </si>
  <si>
    <t>(D) Foreign language instruction</t>
  </si>
  <si>
    <t>Receivables</t>
  </si>
  <si>
    <t>Other Current Assets</t>
  </si>
  <si>
    <t>Property/Plant/Equipment - Gross</t>
  </si>
  <si>
    <t xml:space="preserve">Fill the cells in annual income statement for the year ending October 31, 2017 for </t>
  </si>
  <si>
    <r>
      <t xml:space="preserve">each company in </t>
    </r>
    <r>
      <rPr>
        <b/>
        <sz val="12"/>
        <color theme="1"/>
        <rFont val="Calibri"/>
        <family val="2"/>
        <scheme val="minor"/>
      </rPr>
      <t>Table 2</t>
    </r>
    <r>
      <rPr>
        <sz val="12"/>
        <color theme="1"/>
        <rFont val="Calibri"/>
        <family val="2"/>
        <scheme val="minor"/>
      </rPr>
      <t>.</t>
    </r>
  </si>
  <si>
    <t>Goodwill, Net</t>
  </si>
  <si>
    <t>Fill the cells in annual balance sheets as of October 31, 2017 and October 31, 2016</t>
  </si>
  <si>
    <t>Intangibles, Net</t>
  </si>
  <si>
    <r>
      <t xml:space="preserve">for each company in </t>
    </r>
    <r>
      <rPr>
        <b/>
        <sz val="12"/>
        <color theme="1"/>
        <rFont val="Calibri"/>
        <family val="2"/>
        <scheme val="minor"/>
      </rPr>
      <t>Table 2</t>
    </r>
    <r>
      <rPr>
        <sz val="12"/>
        <color theme="1"/>
        <rFont val="Calibri"/>
        <family val="2"/>
        <scheme val="minor"/>
      </rPr>
      <t>.</t>
    </r>
  </si>
  <si>
    <t>Notes Payable/Short Term Debt</t>
  </si>
  <si>
    <t>Current Port. of LT Debt/Capital Leases</t>
  </si>
  <si>
    <t>Compute the average tax rate for each company for the year ending October 31, 2017.</t>
  </si>
  <si>
    <t>Compute the total equity for each company as of October 31, 2017 and October 31, 2016.</t>
  </si>
  <si>
    <t>Deferred Income Tax</t>
  </si>
  <si>
    <r>
      <t xml:space="preserve">Compute the </t>
    </r>
    <r>
      <rPr>
        <b/>
        <u/>
        <sz val="12"/>
        <color theme="1"/>
        <rFont val="Calibri (Body)"/>
      </rPr>
      <t>net</t>
    </r>
    <r>
      <rPr>
        <sz val="12"/>
        <color theme="1"/>
        <rFont val="Calibri"/>
        <family val="2"/>
        <scheme val="minor"/>
      </rPr>
      <t xml:space="preserve"> property/plant/equipment as of October 31, 2017 and October 31, 2016.</t>
    </r>
  </si>
  <si>
    <t>Compute the depreciation of property/plant/equipment during the year ending October 31, 2017.</t>
  </si>
  <si>
    <t>Table 2 Selected Items of Annual Financial Statements (Million US Dollars)</t>
  </si>
  <si>
    <t>Using the average total assets, compute the return on assets (ROA).</t>
  </si>
  <si>
    <t>Using the average total assets, compute the asset turnover ratio.</t>
  </si>
  <si>
    <r>
      <t xml:space="preserve">Verify that ROA from </t>
    </r>
    <r>
      <rPr>
        <b/>
        <sz val="12"/>
        <color theme="1"/>
        <rFont val="Calibri"/>
        <family val="2"/>
        <scheme val="minor"/>
      </rPr>
      <t>Question 9</t>
    </r>
    <r>
      <rPr>
        <sz val="12"/>
        <color theme="1"/>
        <rFont val="Calibri"/>
        <family val="2"/>
        <scheme val="minor"/>
      </rPr>
      <t xml:space="preserve"> is equal to the product of the</t>
    </r>
  </si>
  <si>
    <t>Which company has a higher ROA? Is this company also better in</t>
  </si>
  <si>
    <t>Average Tax Rate, %</t>
  </si>
  <si>
    <t>utilizing its assets to generate revenue? Why or why not?</t>
  </si>
  <si>
    <t>Depreciation of property/plant/equipment</t>
  </si>
  <si>
    <r>
      <t xml:space="preserve">Give </t>
    </r>
    <r>
      <rPr>
        <u/>
        <sz val="12"/>
        <color theme="1"/>
        <rFont val="Calibri (Body)"/>
      </rPr>
      <t>two</t>
    </r>
    <r>
      <rPr>
        <sz val="12"/>
        <color theme="1"/>
        <rFont val="Calibri"/>
        <family val="2"/>
        <scheme val="minor"/>
      </rPr>
      <t xml:space="preserve"> reasons to justify your answers in </t>
    </r>
    <r>
      <rPr>
        <b/>
        <sz val="12"/>
        <color theme="1"/>
        <rFont val="Calibri"/>
        <family val="2"/>
        <scheme val="minor"/>
      </rPr>
      <t>Question 16</t>
    </r>
    <r>
      <rPr>
        <sz val="12"/>
        <color theme="1"/>
        <rFont val="Calibri"/>
        <family val="2"/>
        <scheme val="minor"/>
      </rPr>
      <t>.</t>
    </r>
  </si>
  <si>
    <t>Table 3 Selected Items of Common Size Annual Financial Statements</t>
  </si>
  <si>
    <t>December 31</t>
  </si>
  <si>
    <t>Non-operating Income, Net</t>
  </si>
  <si>
    <t>Compute the accumulated depreciation for each year. Fill in the respective cells in Table 1.</t>
  </si>
  <si>
    <t>Compute the depreciation expense for each year. Fill in the respective cells in Table 1.</t>
  </si>
  <si>
    <t>Property/Plant/Equipment, At Acquisition</t>
  </si>
  <si>
    <t>Compute the annual growth rate of revenue for each year. Fill in the respective cells in Table 1.</t>
  </si>
  <si>
    <t>Property/Plant/Equipment, Net</t>
  </si>
  <si>
    <t>Compute the annual growth rate of net income for each year. Fill in the respective cells in Table 1.</t>
  </si>
  <si>
    <t>Was this company in good financial health before the COVID-19 pandemic? Give a brief reason to support your answer.</t>
  </si>
  <si>
    <t>Accounts Payable and Accrued Expenses</t>
  </si>
  <si>
    <t>Was this company negatively hit by the COVID-19 pandemic? Give a brief reason to support your answer.</t>
  </si>
  <si>
    <t>Total Long Term Liabilities</t>
  </si>
  <si>
    <t>Depreciation Expense</t>
  </si>
  <si>
    <t>Growth Rate of Revenue, %</t>
  </si>
  <si>
    <t>Growth Rate of Net Income, %</t>
  </si>
  <si>
    <t>Return on Equity (ROE)</t>
  </si>
  <si>
    <t>Compute the finanicial leverage ratio, defined as the total asset to the total equity ratio, for each year.</t>
  </si>
  <si>
    <t>Did this company utilize its assets less effiently during the pandemic when compared to the pre-pandemic period?</t>
  </si>
  <si>
    <t>Give a brief reason to support your answer.</t>
  </si>
  <si>
    <t>Did this company's ability to generate profit from sales decline during the pandemic? Give a brief reason to support your answer.</t>
  </si>
  <si>
    <t>Did this company pay less tax during the pandemic? Give a brief reason to support your answer.</t>
  </si>
  <si>
    <t>Did this company become more leveraged during the pandemic? Give a brief reason to support your answer.</t>
  </si>
  <si>
    <t>Give a brief reason why this company is an innovation firm.</t>
  </si>
  <si>
    <t>Based on the information and analysis above, what is this company (pick only one from the list below)?</t>
  </si>
  <si>
    <t>(A) A producer of COVID-19 vaccine</t>
  </si>
  <si>
    <t>(B) An airline</t>
  </si>
  <si>
    <t>(C) A producer of conference call software</t>
  </si>
  <si>
    <t>(D) A hotel operator</t>
  </si>
  <si>
    <t>Date</t>
  </si>
  <si>
    <t>Transaction</t>
  </si>
  <si>
    <t>Triton Toy pays $500 in cash to purchase raw materials for toy production.</t>
  </si>
  <si>
    <t>Triton Toy hires two employees to make a toy from the raw meterials that it acquired two days ago. The employees finished making the toy. The wage for these two employees is $300 in total, which will be paid later on January 31.</t>
  </si>
  <si>
    <t>Triton Toy pays $300 for the employees for the work that they did earlier.</t>
  </si>
  <si>
    <t>Triton Toy delivers the toy to the customer. The customer will pay $900 for the toy later on February 15.</t>
  </si>
  <si>
    <t>The customer pays Triton Toy $900 in cash.</t>
  </si>
  <si>
    <t>Compute Triton Toy's total revenue in this production activity.</t>
  </si>
  <si>
    <t>Compute Triton Toy's total expense in this production activity.</t>
  </si>
  <si>
    <t>Compute Triton Toy's net income in this production activity.</t>
  </si>
  <si>
    <t>Table 1 Selected Items from Financial Statements (Thousand US Dollars)</t>
  </si>
  <si>
    <t xml:space="preserve">	Selling, General &amp; Administration and Other Operating Expenses</t>
  </si>
  <si>
    <t>Compute the gross profit for each quarter. Fill in the respective cells below Table 1.</t>
  </si>
  <si>
    <t>Compute the non-operating income for each quarter. Fill in the respective cells below Table 1.</t>
  </si>
  <si>
    <t>Tax Expenses</t>
  </si>
  <si>
    <t>Compute the earnings before taxes for each quarter. Fill in the respective cells below Table 1.</t>
  </si>
  <si>
    <t>Compute the net income for each quarter. Fill in the respective cells below Table 1.</t>
  </si>
  <si>
    <t>Compute the net PPE for each quarter. Fill in the respective cells below Table 1.</t>
  </si>
  <si>
    <t>Compute the depreciation of PPE for each quarter. Fill in the respective cells below Table 1.</t>
  </si>
  <si>
    <t xml:space="preserve">		Cash and Cash Equivalents</t>
  </si>
  <si>
    <t>Fill in the annual income statement of this company for the period ending on April 30, 2023.</t>
  </si>
  <si>
    <t xml:space="preserve">			Accounts Receivable</t>
  </si>
  <si>
    <t>Fill in the annual balance sheet of this company as of April 30, 2023.</t>
  </si>
  <si>
    <t xml:space="preserve">		Inventory</t>
  </si>
  <si>
    <t xml:space="preserve">		Other Current Assets</t>
  </si>
  <si>
    <t xml:space="preserve">	Total Current Assets</t>
  </si>
  <si>
    <t>PPE at Acquisition Cost</t>
  </si>
  <si>
    <t xml:space="preserve">			Accumulated Depreciation</t>
  </si>
  <si>
    <t xml:space="preserve">		Goodwill and Other Intangible Assets</t>
  </si>
  <si>
    <t>Other Non-Current Assets</t>
  </si>
  <si>
    <t>Does the revenue of this company fluctuate seasonally? If so, when is the high season?</t>
  </si>
  <si>
    <t>Which industry does this company operate in? Select only one answer from below.</t>
  </si>
  <si>
    <t xml:space="preserve">				AccountsPayable</t>
  </si>
  <si>
    <t>(A) Gardening and Landscaping</t>
  </si>
  <si>
    <t>(B) Ski resorts</t>
  </si>
  <si>
    <t>Other Payable</t>
  </si>
  <si>
    <t>(C) Pharmaceutical</t>
  </si>
  <si>
    <t>(D) Mining</t>
  </si>
  <si>
    <t xml:space="preserve">			Current Accrued Expenses</t>
  </si>
  <si>
    <t>Compute the company's quick ratio from its annual financial statement.</t>
  </si>
  <si>
    <t xml:space="preserve">		Deferred Revenue</t>
  </si>
  <si>
    <t>Compute the company's current ratio from its annual financial statement.</t>
  </si>
  <si>
    <t xml:space="preserve">		Other Current Debt</t>
  </si>
  <si>
    <t xml:space="preserve">Do the quick and current ratios from the annual financial statement suggest that </t>
  </si>
  <si>
    <t xml:space="preserve">	Total Current Liabilities</t>
  </si>
  <si>
    <t>this company faces a liquidity problem? Why or why not?</t>
  </si>
  <si>
    <t xml:space="preserve">			LongTermDebt</t>
  </si>
  <si>
    <t>Compute the company's quick ratio from its quarterly financial statements for each quarter.</t>
  </si>
  <si>
    <t>Fill in the respective cells below Table 1.</t>
  </si>
  <si>
    <t>Compute the company's current ratio from its quarterly financial statements for each quarter.</t>
  </si>
  <si>
    <t xml:space="preserve">Do the quick and current ratios from the quarterly financial statements suggest that </t>
  </si>
  <si>
    <t>Non-Operating Income</t>
  </si>
  <si>
    <t>Earnings Before Taxes</t>
  </si>
  <si>
    <t>Explain why the quarterly financial statements are important if we want to analyze the</t>
  </si>
  <si>
    <t>financial situation of this company.</t>
  </si>
  <si>
    <t>Net PPE</t>
  </si>
  <si>
    <t>Depreciation of PPE</t>
  </si>
  <si>
    <t>Quick Ratio</t>
  </si>
  <si>
    <t>Current Ratio</t>
  </si>
  <si>
    <t>Cost of Goods Sold</t>
  </si>
  <si>
    <t>Earnings Before Taxes (EBT)</t>
  </si>
  <si>
    <t>Compute the company's total equity for each year. Fill in the respective cells below Table 1.</t>
  </si>
  <si>
    <t>Compute the company's total liabilities to total assets ratio for each year.</t>
  </si>
  <si>
    <t xml:space="preserve">	Current Assets</t>
  </si>
  <si>
    <t xml:space="preserve">			Cash and Cash Equivalents</t>
  </si>
  <si>
    <t>Do your findings indicate that this company is in financial trouble? Why or why not?</t>
  </si>
  <si>
    <t xml:space="preserve">		Total Inventory</t>
  </si>
  <si>
    <t xml:space="preserve">			Finished Goods</t>
  </si>
  <si>
    <t xml:space="preserve">		Prepaid Assets</t>
  </si>
  <si>
    <t xml:space="preserve">	Total Non-Current Assets</t>
  </si>
  <si>
    <t xml:space="preserve">		Net PPE</t>
  </si>
  <si>
    <t xml:space="preserve">	Current Liabilities</t>
  </si>
  <si>
    <t xml:space="preserve">				Accounts Payable</t>
  </si>
  <si>
    <t xml:space="preserve">			Long-Term Debt</t>
  </si>
  <si>
    <t>Total Liabilities to Total Assets Ratio</t>
  </si>
  <si>
    <t>Using the end-of-period total assets, compute the company's investment turnover ratio for each year.</t>
  </si>
  <si>
    <t>Using the end-of-period total assets, compute the company's rate of return on assets for each year.</t>
  </si>
  <si>
    <t>Investment Turnover Ratio</t>
  </si>
  <si>
    <t>Rate of Return on Assets</t>
  </si>
  <si>
    <t>Verification</t>
  </si>
  <si>
    <t>and investment turnover ratio.</t>
  </si>
  <si>
    <t>What is the source of the company's financial trouble? Select only one answer from below.</t>
  </si>
  <si>
    <t>(A) The ability of the company to generate profit from sales deteriorated.</t>
  </si>
  <si>
    <t>Tax Rate</t>
  </si>
  <si>
    <t>(B) The ability of the company to utilize its assets to generate sales deteriorated.</t>
  </si>
  <si>
    <t>(C) Both A and B.</t>
  </si>
  <si>
    <t>(D) Neither A nor B.</t>
  </si>
  <si>
    <t>Compute the company's net profit margin for each year. Note that the net profit margin</t>
  </si>
  <si>
    <t>is defined as net income divided by total revenue. Fill in the respective cells below Table 1.</t>
  </si>
  <si>
    <t>Net Profit Margin</t>
  </si>
  <si>
    <t>Gross profit margin ratio</t>
  </si>
  <si>
    <t xml:space="preserve"> consistent to  what you can deduce from the information in Table 1? Why or why not?</t>
  </si>
  <si>
    <t>Research and Development Expenses</t>
  </si>
  <si>
    <t>Verify that the rate of return on assets is equal to the product of the company's net profit margin</t>
  </si>
  <si>
    <t>Compute the net profit margin.</t>
  </si>
  <si>
    <r>
      <t xml:space="preserve">asset turnover ratio from </t>
    </r>
    <r>
      <rPr>
        <b/>
        <sz val="12"/>
        <color theme="1"/>
        <rFont val="Calibri"/>
        <family val="2"/>
        <scheme val="minor"/>
      </rPr>
      <t>Question 10</t>
    </r>
    <r>
      <rPr>
        <sz val="12"/>
        <color theme="1"/>
        <rFont val="Calibri"/>
        <family val="2"/>
        <scheme val="minor"/>
      </rPr>
      <t xml:space="preserve"> and the profit margin</t>
    </r>
  </si>
  <si>
    <r>
      <t xml:space="preserve">from </t>
    </r>
    <r>
      <rPr>
        <b/>
        <sz val="12"/>
        <color theme="1"/>
        <rFont val="Calibri"/>
        <family val="2"/>
        <scheme val="minor"/>
      </rPr>
      <t>Question 11</t>
    </r>
    <r>
      <rPr>
        <sz val="12"/>
        <color theme="1"/>
        <rFont val="Calibri"/>
        <family val="2"/>
        <scheme val="minor"/>
      </rPr>
      <t>.</t>
    </r>
  </si>
  <si>
    <r>
      <t xml:space="preserve">Fill the cells in </t>
    </r>
    <r>
      <rPr>
        <b/>
        <sz val="12"/>
        <color theme="1"/>
        <rFont val="Calibri"/>
        <family val="2"/>
        <scheme val="minor"/>
      </rPr>
      <t>Table 3</t>
    </r>
    <r>
      <rPr>
        <sz val="12"/>
        <color theme="1"/>
        <rFont val="Calibri"/>
        <family val="2"/>
        <scheme val="minor"/>
      </rPr>
      <t xml:space="preserve"> for the selected items in the common size income statements as % of the company's revenue.</t>
    </r>
  </si>
  <si>
    <r>
      <t xml:space="preserve">Fill the cells in </t>
    </r>
    <r>
      <rPr>
        <b/>
        <sz val="12"/>
        <color theme="1"/>
        <rFont val="Calibri"/>
        <family val="2"/>
        <scheme val="minor"/>
      </rPr>
      <t>Table 3</t>
    </r>
    <r>
      <rPr>
        <sz val="12"/>
        <color theme="1"/>
        <rFont val="Calibri"/>
        <family val="2"/>
        <scheme val="minor"/>
      </rPr>
      <t xml:space="preserve"> of the selected items in the common size balance sheets as % of the company's total asset.</t>
    </r>
  </si>
  <si>
    <t>Which company offers in-person service? Which company offers online service?</t>
  </si>
  <si>
    <t>Financial leverage (Assets-to-equity ratio) as of June 30, 2013</t>
  </si>
  <si>
    <t>Which of the following product categories is produced by this company (pick only one)?</t>
  </si>
  <si>
    <t>Which of the following was the problem of the company that we can identify from our financial analysis (pick only one)? Explain.</t>
  </si>
  <si>
    <t>Total Shareholder's Equities</t>
  </si>
  <si>
    <t>Equation Notes (Q1-Q15)</t>
  </si>
  <si>
    <t>Q1: Accum. Depreciation = PP&amp;E at acquisition cost - PP&amp;E net (Q19-Q20, R19-R20, S19-S20).</t>
  </si>
  <si>
    <t>Q2: Depreciation expense linked to available data: Q27=Q26, R27=R26, S27=S26.</t>
  </si>
  <si>
    <t>Q3: Total equity = Total assets - Total liabilities (Q21-Q24, R21-R24, S21-S24).</t>
  </si>
  <si>
    <t>Q4: Net income = Income before taxes - Income taxes (Q12-Q13, R12-R13, S12-S13).</t>
  </si>
  <si>
    <t>Check: growth = (current - prior) / prior</t>
  </si>
  <si>
    <t>Q5: Revenue growth = (Current revenue - Prior revenue) / Prior revenue; Q:(Q5-R5)/R5, R:(R5-S5)/S5.</t>
  </si>
  <si>
    <t>Check: NI growth uses ABS(prior NI)</t>
  </si>
  <si>
    <t>Q6: Net income growth = (Current NI - Prior NI) / ABS(Prior NI); Q:(Q29-R29)/ABS(R29), R:(R29-S29)/ABS(S29).</t>
  </si>
  <si>
    <t>Check: ROE = Net Income / Equity</t>
  </si>
  <si>
    <t>Q9: ROE = Net income / Equity; Q:Q29/Q28, R:R29/R28, S:S29/S28.</t>
  </si>
  <si>
    <t>Check: tax rate = taxes / pre-tax income</t>
  </si>
  <si>
    <t>Q10: Average tax rate = Income taxes / Income before taxes; Q:Q13/Q12, R:R13/R12, S:S13/S12.</t>
  </si>
  <si>
    <t>Check: retention = 1 - tax rate</t>
  </si>
  <si>
    <t>Q11: Tax retention rate = 1 - Average tax rate; Q:1-Q33, R:1-R33, S:1-S33.</t>
  </si>
  <si>
    <t>Check: pre-tax margin = pre-tax income / revenue</t>
  </si>
  <si>
    <t>Q12: Pretax profit margin = Income before taxes / Revenue; Q:Q12/Q5, R:R12/R5, S:S12/S5.</t>
  </si>
  <si>
    <t>Check: asset turnover = revenue / assets</t>
  </si>
  <si>
    <t>Q13: Asset turnover = Revenue / Total assets; Q:Q5/Q21, R:R5/R21, S:S5/S21.</t>
  </si>
  <si>
    <t>Check: leverage = assets / equity</t>
  </si>
  <si>
    <t>Q14: Financial leverage = Total assets / Equity; Q:Q21/Q28, R:R21/R28, S:S21/S28.</t>
  </si>
  <si>
    <t>Check: DuPont product should match ROE</t>
  </si>
  <si>
    <t>Q15 (DuPont): ROE = Tax retention x Pretax margin x Asset turnover x Leverage; Q:Q34*Q35*Q36*Q37 (and same pattern for R,S).</t>
  </si>
  <si>
    <t>No.</t>
  </si>
  <si>
    <t>No. Tax expense did not decline overall: it was 0 in 2019/2020 and rose to 1,083 in 2021 as profitability increased.</t>
  </si>
  <si>
    <t>Yes, especially in 2020. Financial leverage rose from 1.35 (2019) to 2.86 (2020), then eased to 1.74 (2021), still above 2019.</t>
  </si>
  <si>
    <t>The firm appears innovation-driven because it spends heavily on R&amp;D (496 -&gt; 1,370 -&gt; 1,991) and converted that into a major product-driven revenue jump.</t>
  </si>
  <si>
    <t>(A) A producer of COVID-19 vaccine.</t>
  </si>
  <si>
    <t>Their asset turnover increased from 0.03 (2019) to 0.04 (2020) and 0.72 (2021), so assets were used more efficiently.</t>
  </si>
  <si>
    <t>No. Their pretax profit margin improved from -10.71 (2019) to -2.72 (2020) to 0.75 (2021), showing stronger profit generation from sales.</t>
  </si>
  <si>
    <t>Profit surged in 2021 while R&amp;D remained very high, matching a vaccine producer profile rather than airline and hotels which struggled during covid. It couldn’t be conference call software as they have large and consistent investments in R&amp;D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</si>
</sst>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3" formatCode="_(* #,##0.00_);_(* \(#,##0.00\);_(* &quot;-&quot;??_);_(@_)"/>
    <numFmt numFmtId="164" formatCode="_(* #,##0_);_(* \(#,##0\);_(* &quot;-&quot;??_);_(@_)"/>
    <numFmt numFmtId="165" formatCode="#,##0.000"/>
    <numFmt numFmtId="166" formatCode="0.000"/>
    <numFmt numFmtId="167" formatCode="0.0000"/>
  </numFmts>
  <fonts count="20" x14ac:knownFonts="1">
    <font>
      <sz val="12"/>
      <color theme="1"/>
      <name val="Calibri"/>
      <family val="2"/>
      <scheme val="minor"/>
    </font>
    <font>
      <sz val="12"/>
      <color theme="1"/>
      <name val="Calibri"/>
      <family val="2"/>
      <scheme val="minor"/>
    </font>
    <font>
      <b/>
      <sz val="12"/>
      <color theme="1"/>
      <name val="Calibri"/>
      <family val="2"/>
      <scheme val="minor"/>
    </font>
    <font>
      <b/>
      <u/>
      <sz val="12"/>
      <color theme="1"/>
      <name val="Calibri (Body)"/>
    </font>
    <font>
      <b/>
      <i/>
      <sz val="12"/>
      <color theme="1"/>
      <name val="Calibri"/>
      <family val="2"/>
      <scheme val="minor"/>
    </font>
    <font>
      <u/>
      <sz val="12"/>
      <color theme="1"/>
      <name val="Calibri (Body)"/>
    </font>
    <font>
      <u/>
      <sz val="12"/>
      <color theme="1"/>
      <name val="Calibri"/>
      <family val="2"/>
      <scheme val="minor"/>
    </font>
    <font>
      <i/>
      <sz val="12"/>
      <color theme="1"/>
      <name val="Calibri"/>
      <family val="2"/>
      <scheme val="minor"/>
    </font>
    <font>
      <b/>
      <sz val="12"/>
      <name val="Calibri"/>
      <family val="2"/>
      <scheme val="minor"/>
    </font>
    <font>
      <sz val="12"/>
      <name val="Calibri"/>
      <family val="2"/>
      <scheme val="minor"/>
    </font>
    <font>
      <b/>
      <sz val="12"/>
      <name val="Calibri"/>
      <family val="2"/>
    </font>
    <font>
      <sz val="12"/>
      <name val="Calibri"/>
      <family val="2"/>
    </font>
    <font>
      <sz val="12"/>
      <color theme="1"/>
      <name val="Calibri"/>
      <family val="2"/>
    </font>
    <font>
      <sz val="12"/>
      <color rgb="FF000000"/>
      <name val="Calibri"/>
      <family val="2"/>
      <scheme val="minor"/>
    </font>
    <font>
      <b/>
      <sz val="12"/>
      <color theme="1"/>
      <name val="Calibri"/>
      <family val="2"/>
    </font>
    <font>
      <b/>
      <u/>
      <sz val="12"/>
      <color theme="1"/>
      <name val="Calibri"/>
      <family val="2"/>
    </font>
    <font>
      <sz val="12"/>
      <color rgb="FF333333"/>
      <name val="Calibri"/>
      <family val="2"/>
    </font>
    <font>
      <b/>
      <sz val="12"/>
      <color rgb="FF222222"/>
      <name val="Calibri"/>
      <family val="2"/>
    </font>
    <font>
      <sz val="12"/>
      <color rgb="FF222222"/>
      <name val="Calibri"/>
      <family val="2"/>
    </font>
    <font>
      <b/>
      <u val="double"/>
      <sz val="12"/>
      <color theme="1"/>
      <name val="Calibri"/>
      <family val="2"/>
      <scheme val="minor"/>
    </font>
  </fonts>
  <fills count="71">
    <fill>
      <patternFill patternType="none"/>
    </fill>
    <fill>
      <patternFill patternType="gray125"/>
    </fill>
    <fill>
      <patternFill patternType="solid">
        <fgColor rgb="FFFF97CA"/>
        <bgColor indexed="64"/>
      </patternFill>
    </fill>
    <fill>
      <patternFill patternType="solid">
        <fgColor rgb="FFFFD579"/>
        <bgColor indexed="64"/>
      </patternFill>
    </fill>
    <fill>
      <patternFill patternType="solid">
        <fgColor rgb="FFEAFC61"/>
        <bgColor indexed="64"/>
      </patternFill>
    </fill>
    <fill>
      <patternFill patternType="solid">
        <fgColor rgb="FF76D6FF"/>
        <bgColor indexed="64"/>
      </patternFill>
    </fill>
    <fill>
      <patternFill patternType="solid">
        <fgColor rgb="FF73FDD6"/>
        <bgColor indexed="64"/>
      </patternFill>
    </fill>
    <fill>
      <patternFill patternType="solid">
        <fgColor rgb="FF73FB79"/>
        <bgColor indexed="64"/>
      </patternFill>
    </fill>
    <fill>
      <patternFill patternType="solid">
        <fgColor rgb="FFD5FC79"/>
        <bgColor indexed="64"/>
      </patternFill>
    </fill>
    <fill>
      <patternFill patternType="solid">
        <fgColor rgb="FFFFFD78"/>
        <bgColor indexed="64"/>
      </patternFill>
    </fill>
    <fill>
      <patternFill patternType="solid">
        <fgColor rgb="FFFF7E79"/>
        <bgColor indexed="64"/>
      </patternFill>
    </fill>
    <fill>
      <patternFill patternType="solid">
        <fgColor rgb="FFFF2F92"/>
        <bgColor indexed="64"/>
      </patternFill>
    </fill>
    <fill>
      <patternFill patternType="solid">
        <fgColor rgb="FFFF40FF"/>
        <bgColor indexed="64"/>
      </patternFill>
    </fill>
    <fill>
      <patternFill patternType="solid">
        <fgColor theme="7" tint="0.39997558519241921"/>
        <bgColor indexed="64"/>
      </patternFill>
    </fill>
    <fill>
      <patternFill patternType="solid">
        <fgColor rgb="FFD883FF"/>
        <bgColor indexed="64"/>
      </patternFill>
    </fill>
    <fill>
      <patternFill patternType="solid">
        <fgColor theme="7" tint="0.79998168889431442"/>
        <bgColor indexed="64"/>
      </patternFill>
    </fill>
    <fill>
      <patternFill patternType="solid">
        <fgColor rgb="FF7A81FF"/>
        <bgColor indexed="64"/>
      </patternFill>
    </fill>
    <fill>
      <patternFill patternType="solid">
        <fgColor rgb="FF0096FF"/>
        <bgColor indexed="64"/>
      </patternFill>
    </fill>
    <fill>
      <patternFill patternType="solid">
        <fgColor rgb="FF945200"/>
        <bgColor indexed="64"/>
      </patternFill>
    </fill>
    <fill>
      <patternFill patternType="solid">
        <fgColor rgb="FF008F00"/>
        <bgColor indexed="64"/>
      </patternFill>
    </fill>
    <fill>
      <patternFill patternType="solid">
        <fgColor rgb="FF929000"/>
        <bgColor indexed="64"/>
      </patternFill>
    </fill>
    <fill>
      <patternFill patternType="solid">
        <fgColor theme="8" tint="0.39997558519241921"/>
        <bgColor indexed="64"/>
      </patternFill>
    </fill>
    <fill>
      <patternFill patternType="solid">
        <fgColor theme="8" tint="0.79998168889431442"/>
        <bgColor indexed="64"/>
      </patternFill>
    </fill>
    <fill>
      <patternFill patternType="solid">
        <fgColor theme="5" tint="0.39997558519241921"/>
        <bgColor indexed="64"/>
      </patternFill>
    </fill>
    <fill>
      <patternFill patternType="solid">
        <fgColor rgb="FFBEE076"/>
        <bgColor indexed="64"/>
      </patternFill>
    </fill>
    <fill>
      <patternFill patternType="solid">
        <fgColor rgb="FF37B9C5"/>
        <bgColor indexed="64"/>
      </patternFill>
    </fill>
    <fill>
      <patternFill patternType="solid">
        <fgColor rgb="FFD9BD24"/>
        <bgColor indexed="64"/>
      </patternFill>
    </fill>
    <fill>
      <patternFill patternType="solid">
        <fgColor rgb="FFA3CB72"/>
        <bgColor indexed="64"/>
      </patternFill>
    </fill>
    <fill>
      <patternFill patternType="solid">
        <fgColor rgb="FF94D1FE"/>
        <bgColor indexed="64"/>
      </patternFill>
    </fill>
    <fill>
      <patternFill patternType="solid">
        <fgColor theme="9" tint="0.39997558519241921"/>
        <bgColor indexed="64"/>
      </patternFill>
    </fill>
    <fill>
      <patternFill patternType="solid">
        <fgColor theme="2" tint="-0.249977111117893"/>
        <bgColor indexed="64"/>
      </patternFill>
    </fill>
    <fill>
      <patternFill patternType="solid">
        <fgColor rgb="FF60A4DC"/>
        <bgColor indexed="64"/>
      </patternFill>
    </fill>
    <fill>
      <patternFill patternType="solid">
        <fgColor theme="6" tint="0.39997558519241921"/>
        <bgColor indexed="64"/>
      </patternFill>
    </fill>
    <fill>
      <patternFill patternType="solid">
        <fgColor rgb="FFFF6FCF"/>
        <bgColor indexed="64"/>
      </patternFill>
    </fill>
    <fill>
      <patternFill patternType="solid">
        <fgColor theme="4" tint="0.79998168889431442"/>
        <bgColor indexed="64"/>
      </patternFill>
    </fill>
    <fill>
      <patternFill patternType="solid">
        <fgColor rgb="FFFFFF00"/>
        <bgColor indexed="64"/>
      </patternFill>
    </fill>
    <fill>
      <patternFill patternType="solid">
        <fgColor theme="5" tint="0.79998168889431442"/>
        <bgColor indexed="64"/>
      </patternFill>
    </fill>
    <fill>
      <patternFill patternType="solid">
        <fgColor rgb="FFFF8AD8"/>
        <bgColor indexed="64"/>
      </patternFill>
    </fill>
    <fill>
      <patternFill patternType="solid">
        <fgColor rgb="FF00B0F0"/>
        <bgColor indexed="64"/>
      </patternFill>
    </fill>
    <fill>
      <patternFill patternType="solid">
        <fgColor theme="6" tint="0.79998168889431442"/>
        <bgColor indexed="64"/>
      </patternFill>
    </fill>
    <fill>
      <patternFill patternType="solid">
        <fgColor theme="0" tint="-4.9989318521683403E-2"/>
        <bgColor indexed="64"/>
      </patternFill>
    </fill>
    <fill>
      <patternFill patternType="solid">
        <fgColor theme="8"/>
        <bgColor indexed="64"/>
      </patternFill>
    </fill>
    <fill>
      <patternFill patternType="solid">
        <fgColor theme="8" tint="0.59999389629810485"/>
        <bgColor indexed="64"/>
      </patternFill>
    </fill>
    <fill>
      <patternFill patternType="solid">
        <fgColor theme="7" tint="0.59999389629810485"/>
        <bgColor indexed="64"/>
      </patternFill>
    </fill>
    <fill>
      <patternFill patternType="solid">
        <fgColor theme="9" tint="0.59999389629810485"/>
        <bgColor indexed="64"/>
      </patternFill>
    </fill>
    <fill>
      <patternFill patternType="solid">
        <fgColor theme="4" tint="0.59999389629810485"/>
        <bgColor indexed="64"/>
      </patternFill>
    </fill>
    <fill>
      <patternFill patternType="solid">
        <fgColor theme="0" tint="-0.34998626667073579"/>
        <bgColor indexed="64"/>
      </patternFill>
    </fill>
    <fill>
      <patternFill patternType="solid">
        <fgColor theme="6" tint="0.59999389629810485"/>
        <bgColor indexed="64"/>
      </patternFill>
    </fill>
    <fill>
      <patternFill patternType="solid">
        <fgColor theme="5" tint="0.59999389629810485"/>
        <bgColor indexed="64"/>
      </patternFill>
    </fill>
    <fill>
      <patternFill patternType="solid">
        <fgColor rgb="FFFFCC66"/>
        <bgColor indexed="64"/>
      </patternFill>
    </fill>
    <fill>
      <patternFill patternType="solid">
        <fgColor theme="0" tint="-0.14999847407452621"/>
        <bgColor indexed="64"/>
      </patternFill>
    </fill>
    <fill>
      <patternFill patternType="solid">
        <fgColor rgb="FFE6FF4F"/>
        <bgColor indexed="64"/>
      </patternFill>
    </fill>
    <fill>
      <patternFill patternType="solid">
        <fgColor rgb="FF80FF68"/>
        <bgColor indexed="64"/>
      </patternFill>
    </fill>
    <fill>
      <patternFill patternType="solid">
        <fgColor theme="9" tint="0.79998168889431442"/>
        <bgColor indexed="64"/>
      </patternFill>
    </fill>
    <fill>
      <patternFill patternType="solid">
        <fgColor rgb="FFFF85FF"/>
        <bgColor indexed="64"/>
      </patternFill>
    </fill>
    <fill>
      <patternFill patternType="solid">
        <fgColor rgb="FF009193"/>
        <bgColor indexed="64"/>
      </patternFill>
    </fill>
    <fill>
      <patternFill patternType="solid">
        <fgColor rgb="FF00FDFF"/>
        <bgColor indexed="64"/>
      </patternFill>
    </fill>
    <fill>
      <patternFill patternType="solid">
        <fgColor rgb="FF00FB92"/>
        <bgColor indexed="64"/>
      </patternFill>
    </fill>
    <fill>
      <patternFill patternType="solid">
        <fgColor rgb="FFAAAAAA"/>
        <bgColor indexed="64"/>
      </patternFill>
    </fill>
    <fill>
      <patternFill patternType="solid">
        <fgColor rgb="FF8EFA00"/>
        <bgColor indexed="64"/>
      </patternFill>
    </fill>
    <fill>
      <patternFill patternType="solid">
        <fgColor theme="4" tint="0.39997558519241921"/>
        <bgColor indexed="64"/>
      </patternFill>
    </fill>
    <fill>
      <patternFill patternType="solid">
        <fgColor rgb="FF942093"/>
        <bgColor indexed="64"/>
      </patternFill>
    </fill>
    <fill>
      <patternFill patternType="solid">
        <fgColor rgb="FFFF2600"/>
        <bgColor indexed="64"/>
      </patternFill>
    </fill>
    <fill>
      <patternFill patternType="solid">
        <fgColor rgb="FFE1FB77"/>
        <bgColor indexed="64"/>
      </patternFill>
    </fill>
    <fill>
      <patternFill patternType="solid">
        <fgColor rgb="FFF6D875"/>
        <bgColor indexed="64"/>
      </patternFill>
    </fill>
    <fill>
      <patternFill patternType="solid">
        <fgColor rgb="FFA8E3E6"/>
        <bgColor indexed="64"/>
      </patternFill>
    </fill>
    <fill>
      <patternFill patternType="solid">
        <fgColor rgb="FFFF80BE"/>
        <bgColor indexed="64"/>
      </patternFill>
    </fill>
    <fill>
      <patternFill patternType="solid">
        <fgColor rgb="FFFFC000"/>
        <bgColor indexed="64"/>
      </patternFill>
    </fill>
    <fill>
      <patternFill patternType="solid">
        <fgColor theme="3" tint="0.39997558519241921"/>
        <bgColor indexed="64"/>
      </patternFill>
    </fill>
    <fill>
      <patternFill patternType="solid">
        <fgColor rgb="FF73FEFF"/>
        <bgColor indexed="64"/>
      </patternFill>
    </fill>
    <fill>
      <patternFill patternType="solid">
        <fgColor rgb="FF00B050"/>
        <bgColor indexed="64"/>
      </patternFill>
    </fill>
  </fills>
  <borders count="9">
    <border>
      <left/>
      <right/>
      <top/>
      <bottom/>
      <diagonal/>
    </border>
    <border>
      <left style="thin">
        <color auto="1"/>
      </left>
      <right/>
      <top style="thin">
        <color auto="1"/>
      </top>
      <bottom/>
      <diagonal/>
    </border>
    <border>
      <left/>
      <right style="thin">
        <color auto="1"/>
      </right>
      <top style="thin">
        <color auto="1"/>
      </top>
      <bottom/>
      <diagonal/>
    </border>
    <border>
      <left style="thin">
        <color auto="1"/>
      </left>
      <right/>
      <top/>
      <bottom/>
      <diagonal/>
    </border>
    <border>
      <left/>
      <right style="thin">
        <color auto="1"/>
      </right>
      <top/>
      <bottom/>
      <diagonal/>
    </border>
    <border>
      <left style="thin">
        <color auto="1"/>
      </left>
      <right/>
      <top/>
      <bottom style="thin">
        <color auto="1"/>
      </bottom>
      <diagonal/>
    </border>
    <border>
      <left/>
      <right style="thin">
        <color auto="1"/>
      </right>
      <top/>
      <bottom style="thin">
        <color auto="1"/>
      </bottom>
      <diagonal/>
    </border>
    <border>
      <left/>
      <right/>
      <top/>
      <bottom style="thin">
        <color auto="1"/>
      </bottom>
      <diagonal/>
    </border>
    <border>
      <left/>
      <right/>
      <top style="thin">
        <color auto="1"/>
      </top>
      <bottom/>
      <diagonal/>
    </border>
  </borders>
  <cellStyleXfs count="6">
    <xf numFmtId="0" fontId="0" fillId="0" borderId="0"/>
    <xf numFmtId="43"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cellStyleXfs>
  <cellXfs count="304">
    <xf numFmtId="0" fontId="0" fillId="0" borderId="0" xfId="0"/>
    <xf numFmtId="0" fontId="2" fillId="0" borderId="0" xfId="0" applyFont="1"/>
    <xf numFmtId="0" fontId="2" fillId="0" borderId="0" xfId="0" applyFont="1" applyAlignment="1">
      <alignment wrapText="1"/>
    </xf>
    <xf numFmtId="0" fontId="0" fillId="0" borderId="0" xfId="0" applyAlignment="1">
      <alignment vertical="top"/>
    </xf>
    <xf numFmtId="0" fontId="0" fillId="0" borderId="0" xfId="0" applyAlignment="1">
      <alignment vertical="top" wrapText="1"/>
    </xf>
    <xf numFmtId="0" fontId="2" fillId="2" borderId="0" xfId="0" applyFont="1" applyFill="1" applyAlignment="1">
      <alignment horizontal="center" vertical="top"/>
    </xf>
    <xf numFmtId="164" fontId="2" fillId="2" borderId="0" xfId="1" applyNumberFormat="1" applyFont="1" applyFill="1" applyAlignment="1">
      <alignment horizontal="center" vertical="top"/>
    </xf>
    <xf numFmtId="0" fontId="2" fillId="3" borderId="0" xfId="0" applyFont="1" applyFill="1" applyAlignment="1">
      <alignment horizontal="center" vertical="top"/>
    </xf>
    <xf numFmtId="3" fontId="2" fillId="3" borderId="0" xfId="0" applyNumberFormat="1" applyFont="1" applyFill="1" applyAlignment="1">
      <alignment horizontal="center" vertical="top"/>
    </xf>
    <xf numFmtId="0" fontId="2" fillId="4" borderId="0" xfId="0" applyFont="1" applyFill="1" applyAlignment="1">
      <alignment horizontal="center" vertical="top"/>
    </xf>
    <xf numFmtId="164" fontId="2" fillId="4" borderId="0" xfId="1" applyNumberFormat="1" applyFont="1" applyFill="1" applyAlignment="1">
      <alignment horizontal="center" vertical="top"/>
    </xf>
    <xf numFmtId="0" fontId="0" fillId="5" borderId="0" xfId="0" applyFill="1" applyAlignment="1">
      <alignment horizontal="right" vertical="top"/>
    </xf>
    <xf numFmtId="0" fontId="0" fillId="0" borderId="0" xfId="0" applyAlignment="1">
      <alignment horizontal="left" vertical="top" wrapText="1"/>
    </xf>
    <xf numFmtId="0" fontId="0" fillId="0" borderId="0" xfId="0" applyAlignment="1">
      <alignment vertical="center"/>
    </xf>
    <xf numFmtId="164" fontId="0" fillId="0" borderId="0" xfId="1" applyNumberFormat="1" applyFont="1" applyAlignment="1">
      <alignment vertical="center"/>
    </xf>
    <xf numFmtId="0" fontId="0" fillId="6" borderId="0" xfId="0" applyFill="1" applyAlignment="1">
      <alignment vertical="top"/>
    </xf>
    <xf numFmtId="0" fontId="0" fillId="7" borderId="0" xfId="0" applyFill="1" applyAlignment="1">
      <alignment vertical="top"/>
    </xf>
    <xf numFmtId="0" fontId="0" fillId="8" borderId="0" xfId="0" applyFill="1" applyAlignment="1">
      <alignment vertical="top"/>
    </xf>
    <xf numFmtId="0" fontId="0" fillId="9" borderId="0" xfId="0" applyFill="1" applyAlignment="1">
      <alignment vertical="top"/>
    </xf>
    <xf numFmtId="0" fontId="0" fillId="3" borderId="0" xfId="0" applyFill="1" applyAlignment="1">
      <alignment vertical="top"/>
    </xf>
    <xf numFmtId="0" fontId="0" fillId="10" borderId="0" xfId="0" applyFill="1" applyAlignment="1">
      <alignment vertical="top"/>
    </xf>
    <xf numFmtId="0" fontId="0" fillId="11" borderId="0" xfId="0" applyFill="1" applyAlignment="1">
      <alignment vertical="top"/>
    </xf>
    <xf numFmtId="0" fontId="0" fillId="2" borderId="0" xfId="0" applyFill="1" applyAlignment="1">
      <alignment vertical="top"/>
    </xf>
    <xf numFmtId="0" fontId="0" fillId="0" borderId="0" xfId="0" applyAlignment="1">
      <alignment horizontal="left" vertical="top"/>
    </xf>
    <xf numFmtId="164" fontId="0" fillId="0" borderId="0" xfId="1" applyNumberFormat="1" applyFont="1" applyAlignment="1">
      <alignment horizontal="left" vertical="top"/>
    </xf>
    <xf numFmtId="0" fontId="0" fillId="12" borderId="0" xfId="0" applyFill="1" applyAlignment="1">
      <alignment vertical="top"/>
    </xf>
    <xf numFmtId="0" fontId="2" fillId="13" borderId="0" xfId="0" applyFont="1" applyFill="1"/>
    <xf numFmtId="0" fontId="2" fillId="13" borderId="0" xfId="0" applyFont="1" applyFill="1" applyAlignment="1">
      <alignment horizontal="center"/>
    </xf>
    <xf numFmtId="0" fontId="0" fillId="14" borderId="0" xfId="0" applyFill="1" applyAlignment="1">
      <alignment vertical="top"/>
    </xf>
    <xf numFmtId="0" fontId="0" fillId="15" borderId="0" xfId="0" applyFill="1"/>
    <xf numFmtId="164" fontId="0" fillId="14" borderId="0" xfId="1" applyNumberFormat="1" applyFont="1" applyFill="1"/>
    <xf numFmtId="0" fontId="0" fillId="16" borderId="0" xfId="0" applyFill="1" applyAlignment="1">
      <alignment vertical="top"/>
    </xf>
    <xf numFmtId="164" fontId="0" fillId="16" borderId="0" xfId="1" applyNumberFormat="1" applyFont="1" applyFill="1"/>
    <xf numFmtId="0" fontId="0" fillId="5" borderId="0" xfId="0" applyFill="1" applyAlignment="1">
      <alignment vertical="top"/>
    </xf>
    <xf numFmtId="164" fontId="0" fillId="5" borderId="0" xfId="1" applyNumberFormat="1" applyFont="1" applyFill="1"/>
    <xf numFmtId="0" fontId="0" fillId="17" borderId="0" xfId="0" applyFill="1" applyAlignment="1">
      <alignment vertical="top"/>
    </xf>
    <xf numFmtId="0" fontId="0" fillId="18" borderId="0" xfId="0" applyFill="1" applyAlignment="1">
      <alignment vertical="top"/>
    </xf>
    <xf numFmtId="43" fontId="0" fillId="0" borderId="0" xfId="0" applyNumberFormat="1"/>
    <xf numFmtId="0" fontId="0" fillId="19" borderId="0" xfId="0" applyFill="1" applyAlignment="1">
      <alignment vertical="top"/>
    </xf>
    <xf numFmtId="0" fontId="0" fillId="20" borderId="0" xfId="0" applyFill="1" applyAlignment="1">
      <alignment vertical="top"/>
    </xf>
    <xf numFmtId="0" fontId="0" fillId="0" borderId="0" xfId="0" applyAlignment="1">
      <alignment wrapText="1"/>
    </xf>
    <xf numFmtId="0" fontId="0" fillId="23" borderId="0" xfId="0" applyFill="1"/>
    <xf numFmtId="1" fontId="0" fillId="0" borderId="0" xfId="0" applyNumberFormat="1"/>
    <xf numFmtId="0" fontId="0" fillId="25" borderId="0" xfId="0" applyFill="1"/>
    <xf numFmtId="0" fontId="0" fillId="26" borderId="0" xfId="0" applyFill="1"/>
    <xf numFmtId="0" fontId="0" fillId="27" borderId="0" xfId="0" applyFill="1"/>
    <xf numFmtId="0" fontId="0" fillId="28" borderId="0" xfId="0" applyFill="1"/>
    <xf numFmtId="0" fontId="0" fillId="29" borderId="0" xfId="0" applyFill="1"/>
    <xf numFmtId="3" fontId="0" fillId="0" borderId="0" xfId="0" applyNumberFormat="1"/>
    <xf numFmtId="0" fontId="0" fillId="21" borderId="0" xfId="0" applyFill="1"/>
    <xf numFmtId="0" fontId="0" fillId="30" borderId="0" xfId="0" applyFill="1"/>
    <xf numFmtId="2" fontId="0" fillId="0" borderId="0" xfId="0" applyNumberFormat="1"/>
    <xf numFmtId="0" fontId="0" fillId="13" borderId="0" xfId="0" applyFill="1"/>
    <xf numFmtId="0" fontId="0" fillId="31" borderId="0" xfId="0" applyFill="1"/>
    <xf numFmtId="0" fontId="0" fillId="32" borderId="0" xfId="0" applyFill="1"/>
    <xf numFmtId="0" fontId="2" fillId="0" borderId="0" xfId="0" applyFont="1" applyAlignment="1">
      <alignment horizontal="center"/>
    </xf>
    <xf numFmtId="4" fontId="0" fillId="0" borderId="0" xfId="0" applyNumberFormat="1"/>
    <xf numFmtId="0" fontId="0" fillId="35" borderId="0" xfId="0" applyFill="1" applyAlignment="1">
      <alignment vertical="top"/>
    </xf>
    <xf numFmtId="0" fontId="0" fillId="36" borderId="0" xfId="0" applyFill="1" applyAlignment="1">
      <alignment vertical="top"/>
    </xf>
    <xf numFmtId="0" fontId="0" fillId="32" borderId="0" xfId="0" applyFill="1" applyAlignment="1">
      <alignment vertical="top"/>
    </xf>
    <xf numFmtId="0" fontId="0" fillId="23" borderId="0" xfId="0" applyFill="1" applyAlignment="1">
      <alignment vertical="top"/>
    </xf>
    <xf numFmtId="0" fontId="0" fillId="25" borderId="0" xfId="0" applyFill="1" applyAlignment="1">
      <alignment vertical="top"/>
    </xf>
    <xf numFmtId="0" fontId="0" fillId="15" borderId="0" xfId="0" applyFill="1" applyAlignment="1">
      <alignment vertical="top"/>
    </xf>
    <xf numFmtId="0" fontId="0" fillId="28" borderId="0" xfId="0" applyFill="1" applyAlignment="1">
      <alignment vertical="top"/>
    </xf>
    <xf numFmtId="0" fontId="0" fillId="8" borderId="0" xfId="0" applyFill="1"/>
    <xf numFmtId="0" fontId="6" fillId="0" borderId="0" xfId="0" applyFont="1"/>
    <xf numFmtId="0" fontId="0" fillId="38" borderId="0" xfId="0" applyFill="1"/>
    <xf numFmtId="0" fontId="0" fillId="39" borderId="0" xfId="0" applyFill="1" applyAlignment="1">
      <alignment horizontal="center"/>
    </xf>
    <xf numFmtId="0" fontId="0" fillId="36" borderId="0" xfId="0" applyFill="1" applyAlignment="1">
      <alignment horizontal="center"/>
    </xf>
    <xf numFmtId="0" fontId="0" fillId="15" borderId="0" xfId="0" applyFill="1" applyAlignment="1">
      <alignment horizontal="center"/>
    </xf>
    <xf numFmtId="0" fontId="2" fillId="40" borderId="0" xfId="0" applyFont="1" applyFill="1" applyAlignment="1">
      <alignment vertical="top"/>
    </xf>
    <xf numFmtId="0" fontId="0" fillId="0" borderId="0" xfId="0" applyAlignment="1">
      <alignment horizontal="center" vertical="top" wrapText="1"/>
    </xf>
    <xf numFmtId="164" fontId="0" fillId="0" borderId="0" xfId="4" applyNumberFormat="1" applyFont="1" applyAlignment="1">
      <alignment horizontal="center" vertical="top" wrapText="1"/>
    </xf>
    <xf numFmtId="0" fontId="2" fillId="36" borderId="0" xfId="0" applyFont="1" applyFill="1" applyAlignment="1">
      <alignment vertical="top"/>
    </xf>
    <xf numFmtId="0" fontId="0" fillId="41" borderId="0" xfId="0" applyFill="1" applyAlignment="1">
      <alignment vertical="top"/>
    </xf>
    <xf numFmtId="164" fontId="0" fillId="0" borderId="0" xfId="4" applyNumberFormat="1" applyFont="1"/>
    <xf numFmtId="0" fontId="0" fillId="42" borderId="0" xfId="0" applyFill="1" applyAlignment="1">
      <alignment vertical="top"/>
    </xf>
    <xf numFmtId="0" fontId="0" fillId="43" borderId="0" xfId="0" applyFill="1" applyAlignment="1">
      <alignment vertical="top"/>
    </xf>
    <xf numFmtId="0" fontId="0" fillId="44" borderId="0" xfId="0" applyFill="1" applyAlignment="1">
      <alignment vertical="top"/>
    </xf>
    <xf numFmtId="0" fontId="0" fillId="45" borderId="0" xfId="0" applyFill="1" applyAlignment="1">
      <alignment vertical="top"/>
    </xf>
    <xf numFmtId="0" fontId="0" fillId="46" borderId="0" xfId="0" applyFill="1" applyAlignment="1">
      <alignment horizontal="right" vertical="top"/>
    </xf>
    <xf numFmtId="0" fontId="0" fillId="46" borderId="0" xfId="0" applyFill="1" applyAlignment="1">
      <alignment vertical="top"/>
    </xf>
    <xf numFmtId="0" fontId="0" fillId="47" borderId="0" xfId="0" applyFill="1" applyAlignment="1">
      <alignment vertical="top"/>
    </xf>
    <xf numFmtId="0" fontId="0" fillId="48" borderId="0" xfId="0" applyFill="1" applyAlignment="1">
      <alignment vertical="top"/>
    </xf>
    <xf numFmtId="0" fontId="0" fillId="22" borderId="0" xfId="0" applyFill="1" applyAlignment="1">
      <alignment horizontal="right" vertical="top"/>
    </xf>
    <xf numFmtId="0" fontId="0" fillId="22" borderId="0" xfId="0" applyFill="1" applyAlignment="1">
      <alignment vertical="top"/>
    </xf>
    <xf numFmtId="0" fontId="0" fillId="49" borderId="0" xfId="0" applyFill="1" applyAlignment="1">
      <alignment vertical="top"/>
    </xf>
    <xf numFmtId="0" fontId="0" fillId="42" borderId="0" xfId="0" applyFill="1" applyAlignment="1">
      <alignment horizontal="right" vertical="top"/>
    </xf>
    <xf numFmtId="0" fontId="0" fillId="30" borderId="0" xfId="0" applyFill="1" applyAlignment="1">
      <alignment vertical="top"/>
    </xf>
    <xf numFmtId="0" fontId="0" fillId="24" borderId="0" xfId="0" applyFill="1" applyAlignment="1">
      <alignment vertical="top"/>
    </xf>
    <xf numFmtId="0" fontId="0" fillId="47" borderId="0" xfId="0" applyFill="1" applyAlignment="1">
      <alignment horizontal="right" vertical="top"/>
    </xf>
    <xf numFmtId="0" fontId="0" fillId="13" borderId="0" xfId="0" applyFill="1" applyAlignment="1">
      <alignment vertical="top"/>
    </xf>
    <xf numFmtId="0" fontId="0" fillId="15" borderId="0" xfId="0" applyFill="1" applyAlignment="1">
      <alignment horizontal="right" vertical="top"/>
    </xf>
    <xf numFmtId="164" fontId="0" fillId="0" borderId="0" xfId="4" applyNumberFormat="1" applyFont="1" applyFill="1" applyAlignment="1">
      <alignment horizontal="center" vertical="top" wrapText="1"/>
    </xf>
    <xf numFmtId="0" fontId="2" fillId="13" borderId="1" xfId="0" applyFont="1" applyFill="1" applyBorder="1"/>
    <xf numFmtId="0" fontId="2" fillId="13" borderId="2" xfId="0" applyFont="1" applyFill="1" applyBorder="1"/>
    <xf numFmtId="0" fontId="2" fillId="29" borderId="1" xfId="0" applyFont="1" applyFill="1" applyBorder="1"/>
    <xf numFmtId="0" fontId="2" fillId="29" borderId="2" xfId="0" applyFont="1" applyFill="1" applyBorder="1"/>
    <xf numFmtId="0" fontId="0" fillId="0" borderId="3" xfId="0" applyBorder="1"/>
    <xf numFmtId="164" fontId="0" fillId="0" borderId="4" xfId="0" applyNumberFormat="1" applyBorder="1"/>
    <xf numFmtId="0" fontId="0" fillId="0" borderId="3" xfId="0" applyBorder="1" applyAlignment="1">
      <alignment wrapText="1"/>
    </xf>
    <xf numFmtId="0" fontId="2" fillId="50" borderId="0" xfId="0" applyFont="1" applyFill="1"/>
    <xf numFmtId="164" fontId="0" fillId="50" borderId="4" xfId="0" applyNumberFormat="1" applyFill="1" applyBorder="1"/>
    <xf numFmtId="0" fontId="2" fillId="50" borderId="5" xfId="0" applyFont="1" applyFill="1" applyBorder="1"/>
    <xf numFmtId="164" fontId="0" fillId="50" borderId="6" xfId="0" applyNumberFormat="1" applyFill="1" applyBorder="1"/>
    <xf numFmtId="0" fontId="2" fillId="50" borderId="7" xfId="0" applyFont="1" applyFill="1" applyBorder="1"/>
    <xf numFmtId="164" fontId="0" fillId="0" borderId="0" xfId="0" applyNumberFormat="1"/>
    <xf numFmtId="0" fontId="0" fillId="51" borderId="0" xfId="0" applyFill="1" applyAlignment="1">
      <alignment vertical="top"/>
    </xf>
    <xf numFmtId="0" fontId="0" fillId="52" borderId="0" xfId="0" applyFill="1" applyAlignment="1">
      <alignment vertical="top"/>
    </xf>
    <xf numFmtId="43" fontId="0" fillId="0" borderId="0" xfId="0" applyNumberFormat="1" applyAlignment="1">
      <alignment vertical="top"/>
    </xf>
    <xf numFmtId="0" fontId="0" fillId="36" borderId="1" xfId="0" applyFill="1" applyBorder="1"/>
    <xf numFmtId="0" fontId="0" fillId="36" borderId="8" xfId="0" applyFill="1" applyBorder="1"/>
    <xf numFmtId="164" fontId="0" fillId="36" borderId="2" xfId="0" applyNumberFormat="1" applyFill="1" applyBorder="1"/>
    <xf numFmtId="0" fontId="0" fillId="36" borderId="3" xfId="0" applyFill="1" applyBorder="1"/>
    <xf numFmtId="0" fontId="0" fillId="36" borderId="0" xfId="0" applyFill="1"/>
    <xf numFmtId="164" fontId="0" fillId="36" borderId="4" xfId="0" applyNumberFormat="1" applyFill="1" applyBorder="1"/>
    <xf numFmtId="0" fontId="2" fillId="36" borderId="3" xfId="0" applyFont="1" applyFill="1" applyBorder="1"/>
    <xf numFmtId="0" fontId="2" fillId="36" borderId="0" xfId="0" applyFont="1" applyFill="1"/>
    <xf numFmtId="164" fontId="2" fillId="36" borderId="4" xfId="0" applyNumberFormat="1" applyFont="1" applyFill="1" applyBorder="1"/>
    <xf numFmtId="0" fontId="2" fillId="48" borderId="5" xfId="0" applyFont="1" applyFill="1" applyBorder="1"/>
    <xf numFmtId="0" fontId="0" fillId="48" borderId="7" xfId="0" applyFill="1" applyBorder="1"/>
    <xf numFmtId="164" fontId="0" fillId="48" borderId="6" xfId="0" applyNumberFormat="1" applyFill="1" applyBorder="1"/>
    <xf numFmtId="0" fontId="0" fillId="15" borderId="0" xfId="0" applyFill="1" applyAlignment="1">
      <alignment horizontal="left"/>
    </xf>
    <xf numFmtId="0" fontId="2" fillId="15" borderId="0" xfId="0" applyFont="1" applyFill="1" applyAlignment="1">
      <alignment horizontal="center"/>
    </xf>
    <xf numFmtId="164" fontId="0" fillId="15" borderId="0" xfId="0" applyNumberFormat="1" applyFill="1" applyAlignment="1">
      <alignment horizontal="center"/>
    </xf>
    <xf numFmtId="164" fontId="0" fillId="15" borderId="0" xfId="0" applyNumberFormat="1" applyFill="1"/>
    <xf numFmtId="43" fontId="0" fillId="15" borderId="0" xfId="0" applyNumberFormat="1" applyFill="1"/>
    <xf numFmtId="0" fontId="2" fillId="43" borderId="0" xfId="0" applyFont="1" applyFill="1"/>
    <xf numFmtId="43" fontId="2" fillId="43" borderId="0" xfId="0" applyNumberFormat="1" applyFont="1" applyFill="1"/>
    <xf numFmtId="0" fontId="7" fillId="21" borderId="0" xfId="0" applyFont="1" applyFill="1"/>
    <xf numFmtId="0" fontId="2" fillId="21" borderId="0" xfId="0" applyFont="1" applyFill="1"/>
    <xf numFmtId="0" fontId="2" fillId="22" borderId="0" xfId="0" applyFont="1" applyFill="1"/>
    <xf numFmtId="0" fontId="0" fillId="22" borderId="0" xfId="0" applyFill="1"/>
    <xf numFmtId="164" fontId="0" fillId="22" borderId="0" xfId="1" applyNumberFormat="1" applyFont="1" applyFill="1"/>
    <xf numFmtId="0" fontId="2" fillId="42" borderId="0" xfId="0" applyFont="1" applyFill="1"/>
    <xf numFmtId="164" fontId="0" fillId="42" borderId="0" xfId="1" applyNumberFormat="1" applyFont="1" applyFill="1"/>
    <xf numFmtId="0" fontId="0" fillId="42" borderId="0" xfId="0" applyFill="1"/>
    <xf numFmtId="0" fontId="0" fillId="44" borderId="0" xfId="0" applyFill="1"/>
    <xf numFmtId="2" fontId="0" fillId="0" borderId="0" xfId="0" applyNumberFormat="1" applyAlignment="1">
      <alignment horizontal="center"/>
    </xf>
    <xf numFmtId="0" fontId="8" fillId="0" borderId="0" xfId="0" applyFont="1"/>
    <xf numFmtId="0" fontId="9" fillId="0" borderId="0" xfId="0" applyFont="1"/>
    <xf numFmtId="0" fontId="8" fillId="21" borderId="0" xfId="0" applyFont="1" applyFill="1" applyAlignment="1">
      <alignment horizontal="left"/>
    </xf>
    <xf numFmtId="0" fontId="8" fillId="22" borderId="0" xfId="0" applyFont="1" applyFill="1" applyAlignment="1">
      <alignment horizontal="center"/>
    </xf>
    <xf numFmtId="0" fontId="2" fillId="42" borderId="0" xfId="0" applyFont="1" applyFill="1" applyAlignment="1">
      <alignment horizontal="center"/>
    </xf>
    <xf numFmtId="0" fontId="10" fillId="21" borderId="0" xfId="0" applyFont="1" applyFill="1"/>
    <xf numFmtId="14" fontId="10" fillId="22" borderId="0" xfId="0" applyNumberFormat="1" applyFont="1" applyFill="1" applyAlignment="1">
      <alignment horizontal="center"/>
    </xf>
    <xf numFmtId="14" fontId="10" fillId="42" borderId="0" xfId="0" applyNumberFormat="1" applyFont="1" applyFill="1" applyAlignment="1">
      <alignment horizontal="center"/>
    </xf>
    <xf numFmtId="0" fontId="11" fillId="21" borderId="0" xfId="0" applyFont="1" applyFill="1"/>
    <xf numFmtId="3" fontId="11" fillId="22" borderId="0" xfId="0" applyNumberFormat="1" applyFont="1" applyFill="1"/>
    <xf numFmtId="3" fontId="11" fillId="42" borderId="0" xfId="0" applyNumberFormat="1" applyFont="1" applyFill="1"/>
    <xf numFmtId="0" fontId="0" fillId="54" borderId="0" xfId="0" applyFill="1" applyAlignment="1">
      <alignment vertical="top"/>
    </xf>
    <xf numFmtId="0" fontId="0" fillId="55" borderId="0" xfId="0" applyFill="1"/>
    <xf numFmtId="3" fontId="0" fillId="9" borderId="0" xfId="0" applyNumberFormat="1" applyFill="1"/>
    <xf numFmtId="0" fontId="0" fillId="56" borderId="0" xfId="0" applyFill="1"/>
    <xf numFmtId="164" fontId="0" fillId="8" borderId="0" xfId="1" applyNumberFormat="1" applyFont="1" applyFill="1"/>
    <xf numFmtId="0" fontId="0" fillId="16" borderId="0" xfId="0" applyFill="1"/>
    <xf numFmtId="164" fontId="0" fillId="14" borderId="0" xfId="0" applyNumberFormat="1" applyFill="1"/>
    <xf numFmtId="0" fontId="11" fillId="0" borderId="0" xfId="0" applyFont="1"/>
    <xf numFmtId="3" fontId="12" fillId="0" borderId="0" xfId="0" applyNumberFormat="1" applyFont="1"/>
    <xf numFmtId="0" fontId="0" fillId="9" borderId="0" xfId="0" applyFill="1"/>
    <xf numFmtId="0" fontId="0" fillId="14" borderId="0" xfId="0" applyFill="1"/>
    <xf numFmtId="0" fontId="0" fillId="11" borderId="0" xfId="0" applyFill="1"/>
    <xf numFmtId="0" fontId="0" fillId="57" borderId="0" xfId="0" applyFill="1"/>
    <xf numFmtId="0" fontId="0" fillId="58" borderId="0" xfId="0" applyFill="1"/>
    <xf numFmtId="0" fontId="0" fillId="59" borderId="0" xfId="0" applyFill="1"/>
    <xf numFmtId="0" fontId="14" fillId="0" borderId="0" xfId="0" applyFont="1"/>
    <xf numFmtId="0" fontId="12" fillId="60" borderId="0" xfId="0" applyFont="1" applyFill="1"/>
    <xf numFmtId="0" fontId="14" fillId="34" borderId="0" xfId="0" applyFont="1" applyFill="1" applyAlignment="1">
      <alignment horizontal="right"/>
    </xf>
    <xf numFmtId="0" fontId="14" fillId="60" borderId="0" xfId="0" applyFont="1" applyFill="1"/>
    <xf numFmtId="49" fontId="14" fillId="34" borderId="0" xfId="0" applyNumberFormat="1" applyFont="1" applyFill="1" applyAlignment="1">
      <alignment horizontal="right"/>
    </xf>
    <xf numFmtId="2" fontId="12" fillId="34" borderId="0" xfId="0" applyNumberFormat="1" applyFont="1" applyFill="1"/>
    <xf numFmtId="0" fontId="0" fillId="60" borderId="0" xfId="0" applyFill="1"/>
    <xf numFmtId="2" fontId="0" fillId="34" borderId="0" xfId="0" applyNumberFormat="1" applyFill="1"/>
    <xf numFmtId="2" fontId="14" fillId="34" borderId="0" xfId="0" applyNumberFormat="1" applyFont="1" applyFill="1" applyAlignment="1">
      <alignment horizontal="right"/>
    </xf>
    <xf numFmtId="1" fontId="0" fillId="8" borderId="0" xfId="0" applyNumberFormat="1" applyFill="1" applyAlignment="1">
      <alignment vertical="top"/>
    </xf>
    <xf numFmtId="2" fontId="0" fillId="34" borderId="0" xfId="0" applyNumberFormat="1" applyFill="1" applyAlignment="1">
      <alignment vertical="top"/>
    </xf>
    <xf numFmtId="2" fontId="16" fillId="34" borderId="0" xfId="0" applyNumberFormat="1" applyFont="1" applyFill="1"/>
    <xf numFmtId="2" fontId="0" fillId="6" borderId="0" xfId="0" applyNumberFormat="1" applyFill="1" applyAlignment="1">
      <alignment vertical="top"/>
    </xf>
    <xf numFmtId="2" fontId="0" fillId="7" borderId="0" xfId="0" applyNumberFormat="1" applyFill="1" applyAlignment="1">
      <alignment vertical="top"/>
    </xf>
    <xf numFmtId="2" fontId="0" fillId="8" borderId="0" xfId="0" applyNumberFormat="1" applyFill="1" applyAlignment="1">
      <alignment vertical="top"/>
    </xf>
    <xf numFmtId="0" fontId="0" fillId="61" borderId="0" xfId="0" applyFill="1"/>
    <xf numFmtId="2" fontId="0" fillId="10" borderId="0" xfId="0" applyNumberFormat="1" applyFill="1" applyAlignment="1">
      <alignment vertical="top"/>
    </xf>
    <xf numFmtId="2" fontId="0" fillId="11" borderId="0" xfId="0" applyNumberFormat="1" applyFill="1" applyAlignment="1">
      <alignment vertical="top"/>
    </xf>
    <xf numFmtId="0" fontId="0" fillId="62" borderId="0" xfId="0" applyFill="1"/>
    <xf numFmtId="2" fontId="0" fillId="2" borderId="0" xfId="0" applyNumberFormat="1" applyFill="1" applyAlignment="1">
      <alignment vertical="top"/>
    </xf>
    <xf numFmtId="2" fontId="0" fillId="12" borderId="0" xfId="0" applyNumberFormat="1" applyFill="1" applyAlignment="1">
      <alignment vertical="top"/>
    </xf>
    <xf numFmtId="2" fontId="0" fillId="16" borderId="0" xfId="0" applyNumberFormat="1" applyFill="1" applyAlignment="1">
      <alignment vertical="top"/>
    </xf>
    <xf numFmtId="2" fontId="0" fillId="61" borderId="0" xfId="0" applyNumberFormat="1" applyFill="1"/>
    <xf numFmtId="0" fontId="0" fillId="62" borderId="0" xfId="0" applyFill="1" applyAlignment="1">
      <alignment horizontal="center"/>
    </xf>
    <xf numFmtId="0" fontId="0" fillId="0" borderId="0" xfId="0" applyAlignment="1">
      <alignment horizontal="right" vertical="top"/>
    </xf>
    <xf numFmtId="1" fontId="0" fillId="15" borderId="0" xfId="0" applyNumberFormat="1" applyFill="1"/>
    <xf numFmtId="164" fontId="0" fillId="0" borderId="0" xfId="1" applyNumberFormat="1" applyFont="1" applyFill="1"/>
    <xf numFmtId="0" fontId="2" fillId="0" borderId="0" xfId="0" applyFont="1" applyAlignment="1">
      <alignment vertical="top"/>
    </xf>
    <xf numFmtId="0" fontId="2" fillId="60" borderId="0" xfId="0" applyFont="1" applyFill="1" applyAlignment="1">
      <alignment horizontal="center"/>
    </xf>
    <xf numFmtId="0" fontId="0" fillId="33" borderId="0" xfId="0" applyFill="1" applyAlignment="1">
      <alignment vertical="top"/>
    </xf>
    <xf numFmtId="0" fontId="0" fillId="21" borderId="0" xfId="0" applyFill="1" applyAlignment="1">
      <alignment vertical="top"/>
    </xf>
    <xf numFmtId="0" fontId="0" fillId="29" borderId="0" xfId="0" applyFill="1" applyAlignment="1">
      <alignment vertical="top"/>
    </xf>
    <xf numFmtId="0" fontId="0" fillId="53" borderId="0" xfId="0" applyFill="1" applyAlignment="1">
      <alignment vertical="top"/>
    </xf>
    <xf numFmtId="0" fontId="0" fillId="39" borderId="0" xfId="0" applyFill="1" applyAlignment="1">
      <alignment vertical="top"/>
    </xf>
    <xf numFmtId="0" fontId="0" fillId="63" borderId="0" xfId="0" applyFill="1" applyAlignment="1">
      <alignment vertical="top"/>
    </xf>
    <xf numFmtId="0" fontId="0" fillId="64" borderId="0" xfId="0" applyFill="1" applyAlignment="1">
      <alignment vertical="top"/>
    </xf>
    <xf numFmtId="0" fontId="0" fillId="65" borderId="0" xfId="0" applyFill="1"/>
    <xf numFmtId="0" fontId="0" fillId="66" borderId="0" xfId="0" applyFill="1" applyAlignment="1">
      <alignment vertical="top"/>
    </xf>
    <xf numFmtId="0" fontId="9" fillId="22" borderId="0" xfId="0" applyFont="1" applyFill="1"/>
    <xf numFmtId="0" fontId="9" fillId="42" borderId="0" xfId="0" applyFont="1" applyFill="1"/>
    <xf numFmtId="0" fontId="17" fillId="21" borderId="0" xfId="0" applyFont="1" applyFill="1"/>
    <xf numFmtId="14" fontId="10" fillId="22" borderId="0" xfId="0" applyNumberFormat="1" applyFont="1" applyFill="1"/>
    <xf numFmtId="14" fontId="17" fillId="22" borderId="0" xfId="0" applyNumberFormat="1" applyFont="1" applyFill="1"/>
    <xf numFmtId="14" fontId="10" fillId="42" borderId="0" xfId="0" applyNumberFormat="1" applyFont="1" applyFill="1"/>
    <xf numFmtId="14" fontId="17" fillId="42" borderId="0" xfId="0" applyNumberFormat="1" applyFont="1" applyFill="1"/>
    <xf numFmtId="0" fontId="18" fillId="21" borderId="0" xfId="0" applyFont="1" applyFill="1"/>
    <xf numFmtId="164" fontId="11" fillId="22" borderId="0" xfId="1" applyNumberFormat="1" applyFont="1" applyFill="1"/>
    <xf numFmtId="164" fontId="18" fillId="22" borderId="0" xfId="1" applyNumberFormat="1" applyFont="1" applyFill="1"/>
    <xf numFmtId="164" fontId="11" fillId="42" borderId="0" xfId="1" applyNumberFormat="1" applyFont="1" applyFill="1"/>
    <xf numFmtId="164" fontId="18" fillId="42" borderId="0" xfId="1" applyNumberFormat="1" applyFont="1" applyFill="1"/>
    <xf numFmtId="0" fontId="12" fillId="21" borderId="0" xfId="0" applyFont="1" applyFill="1"/>
    <xf numFmtId="0" fontId="11" fillId="22" borderId="0" xfId="0" applyFont="1" applyFill="1"/>
    <xf numFmtId="0" fontId="11" fillId="42" borderId="0" xfId="0" applyFont="1" applyFill="1"/>
    <xf numFmtId="0" fontId="0" fillId="37" borderId="0" xfId="0" applyFill="1" applyAlignment="1">
      <alignment vertical="top"/>
    </xf>
    <xf numFmtId="0" fontId="0" fillId="67" borderId="0" xfId="0" applyFill="1" applyAlignment="1">
      <alignment vertical="top"/>
    </xf>
    <xf numFmtId="3" fontId="11" fillId="37" borderId="0" xfId="0" applyNumberFormat="1" applyFont="1" applyFill="1"/>
    <xf numFmtId="0" fontId="8" fillId="21" borderId="0" xfId="0" applyFont="1" applyFill="1" applyAlignment="1">
      <alignment horizontal="center"/>
    </xf>
    <xf numFmtId="0" fontId="0" fillId="3" borderId="0" xfId="0" applyFill="1"/>
    <xf numFmtId="0" fontId="0" fillId="68" borderId="0" xfId="0" applyFill="1"/>
    <xf numFmtId="2" fontId="11" fillId="67" borderId="0" xfId="0" applyNumberFormat="1" applyFont="1" applyFill="1"/>
    <xf numFmtId="1" fontId="12" fillId="35" borderId="0" xfId="0" applyNumberFormat="1" applyFont="1" applyFill="1" applyAlignment="1">
      <alignment vertical="top"/>
    </xf>
    <xf numFmtId="1" fontId="12" fillId="25" borderId="0" xfId="0" applyNumberFormat="1" applyFont="1" applyFill="1" applyAlignment="1">
      <alignment vertical="top"/>
    </xf>
    <xf numFmtId="0" fontId="0" fillId="69" borderId="0" xfId="0" applyFill="1"/>
    <xf numFmtId="1" fontId="12" fillId="7" borderId="0" xfId="0" applyNumberFormat="1" applyFont="1" applyFill="1" applyAlignment="1">
      <alignment vertical="top"/>
    </xf>
    <xf numFmtId="1" fontId="12" fillId="8" borderId="0" xfId="0" applyNumberFormat="1" applyFont="1" applyFill="1"/>
    <xf numFmtId="3" fontId="11" fillId="38" borderId="0" xfId="0" applyNumberFormat="1" applyFont="1" applyFill="1"/>
    <xf numFmtId="1" fontId="12" fillId="69" borderId="0" xfId="0" applyNumberFormat="1" applyFont="1" applyFill="1" applyAlignment="1">
      <alignment vertical="top"/>
    </xf>
    <xf numFmtId="0" fontId="14" fillId="34" borderId="0" xfId="0" applyFont="1" applyFill="1" applyAlignment="1">
      <alignment horizontal="center"/>
    </xf>
    <xf numFmtId="49" fontId="14" fillId="34" borderId="0" xfId="0" applyNumberFormat="1" applyFont="1" applyFill="1" applyAlignment="1">
      <alignment horizontal="center"/>
    </xf>
    <xf numFmtId="164" fontId="12" fillId="34" borderId="0" xfId="1" applyNumberFormat="1" applyFont="1" applyFill="1"/>
    <xf numFmtId="164" fontId="16" fillId="34" borderId="0" xfId="1" applyNumberFormat="1" applyFont="1" applyFill="1"/>
    <xf numFmtId="164" fontId="0" fillId="5" borderId="0" xfId="1" applyNumberFormat="1" applyFont="1" applyFill="1" applyAlignment="1">
      <alignment horizontal="right" vertical="top"/>
    </xf>
    <xf numFmtId="164" fontId="0" fillId="6" borderId="0" xfId="1" applyNumberFormat="1" applyFont="1" applyFill="1" applyAlignment="1">
      <alignment vertical="top"/>
    </xf>
    <xf numFmtId="164" fontId="0" fillId="7" borderId="0" xfId="1" applyNumberFormat="1" applyFont="1" applyFill="1" applyAlignment="1">
      <alignment vertical="top"/>
    </xf>
    <xf numFmtId="164" fontId="0" fillId="8" borderId="0" xfId="1" applyNumberFormat="1" applyFont="1" applyFill="1" applyAlignment="1">
      <alignment vertical="top"/>
    </xf>
    <xf numFmtId="9" fontId="0" fillId="9" borderId="0" xfId="2" applyFont="1" applyFill="1" applyAlignment="1">
      <alignment vertical="top"/>
    </xf>
    <xf numFmtId="9" fontId="0" fillId="9" borderId="0" xfId="2" applyFont="1" applyFill="1" applyAlignment="1">
      <alignment horizontal="center" vertical="top"/>
    </xf>
    <xf numFmtId="9" fontId="0" fillId="3" borderId="0" xfId="2" applyFont="1" applyFill="1" applyAlignment="1">
      <alignment horizontal="center" vertical="top"/>
    </xf>
    <xf numFmtId="9" fontId="0" fillId="3" borderId="0" xfId="2" applyFont="1" applyFill="1" applyAlignment="1">
      <alignment vertical="top"/>
    </xf>
    <xf numFmtId="2" fontId="0" fillId="62" borderId="0" xfId="0" applyNumberFormat="1" applyFill="1"/>
    <xf numFmtId="2" fontId="0" fillId="55" borderId="0" xfId="0" applyNumberFormat="1" applyFill="1"/>
    <xf numFmtId="0" fontId="0" fillId="7" borderId="0" xfId="0" applyFill="1" applyAlignment="1">
      <alignment horizontal="center" vertical="top"/>
    </xf>
    <xf numFmtId="0" fontId="2" fillId="2" borderId="0" xfId="0" applyFont="1" applyFill="1" applyAlignment="1">
      <alignment horizontal="center" vertical="top" wrapText="1"/>
    </xf>
    <xf numFmtId="0" fontId="2" fillId="3" borderId="0" xfId="0" applyFont="1" applyFill="1" applyAlignment="1">
      <alignment horizontal="center" vertical="top" wrapText="1"/>
    </xf>
    <xf numFmtId="0" fontId="2" fillId="4" borderId="0" xfId="0" applyFont="1" applyFill="1" applyAlignment="1">
      <alignment horizontal="center" vertical="top" wrapText="1"/>
    </xf>
    <xf numFmtId="0" fontId="0" fillId="0" borderId="0" xfId="0" applyAlignment="1">
      <alignment vertical="center" wrapText="1"/>
    </xf>
    <xf numFmtId="1" fontId="0" fillId="0" borderId="0" xfId="1" applyNumberFormat="1" applyFont="1" applyAlignment="1">
      <alignment vertical="center"/>
    </xf>
    <xf numFmtId="3" fontId="0" fillId="0" borderId="0" xfId="0" applyNumberFormat="1" applyAlignment="1">
      <alignment vertical="top"/>
    </xf>
    <xf numFmtId="14" fontId="2" fillId="0" borderId="0" xfId="0" applyNumberFormat="1" applyFont="1"/>
    <xf numFmtId="14" fontId="2" fillId="0" borderId="0" xfId="0" applyNumberFormat="1" applyFont="1" applyAlignment="1">
      <alignment horizontal="center"/>
    </xf>
    <xf numFmtId="3" fontId="0" fillId="11" borderId="0" xfId="0" applyNumberFormat="1" applyFill="1" applyAlignment="1">
      <alignment vertical="top"/>
    </xf>
    <xf numFmtId="3" fontId="0" fillId="2" borderId="0" xfId="0" applyNumberFormat="1" applyFill="1" applyAlignment="1">
      <alignment vertical="top"/>
    </xf>
    <xf numFmtId="3" fontId="0" fillId="0" borderId="0" xfId="5" applyNumberFormat="1" applyFont="1"/>
    <xf numFmtId="0" fontId="0" fillId="70" borderId="0" xfId="0" applyFill="1"/>
    <xf numFmtId="3" fontId="0" fillId="5" borderId="0" xfId="0" applyNumberFormat="1" applyFill="1" applyAlignment="1">
      <alignment horizontal="right" vertical="top"/>
    </xf>
    <xf numFmtId="3" fontId="0" fillId="6" borderId="0" xfId="0" applyNumberFormat="1" applyFill="1" applyAlignment="1">
      <alignment vertical="top"/>
    </xf>
    <xf numFmtId="3" fontId="0" fillId="7" borderId="0" xfId="0" applyNumberFormat="1" applyFill="1" applyAlignment="1">
      <alignment vertical="top"/>
    </xf>
    <xf numFmtId="1" fontId="0" fillId="0" borderId="0" xfId="0" applyNumberFormat="1" applyAlignment="1">
      <alignment vertical="top"/>
    </xf>
    <xf numFmtId="3" fontId="0" fillId="8" borderId="0" xfId="5" applyNumberFormat="1" applyFont="1" applyFill="1" applyAlignment="1">
      <alignment vertical="top"/>
    </xf>
    <xf numFmtId="3" fontId="0" fillId="9" borderId="0" xfId="0" applyNumberFormat="1" applyFill="1" applyAlignment="1">
      <alignment vertical="top"/>
    </xf>
    <xf numFmtId="3" fontId="0" fillId="3" borderId="0" xfId="0" applyNumberFormat="1" applyFill="1" applyAlignment="1">
      <alignment vertical="top"/>
    </xf>
    <xf numFmtId="4" fontId="0" fillId="53" borderId="0" xfId="0" applyNumberFormat="1" applyFill="1"/>
    <xf numFmtId="2" fontId="0" fillId="38" borderId="0" xfId="0" applyNumberFormat="1" applyFill="1"/>
    <xf numFmtId="2" fontId="0" fillId="29" borderId="0" xfId="0" applyNumberFormat="1" applyFill="1"/>
    <xf numFmtId="2" fontId="0" fillId="70" borderId="0" xfId="0" applyNumberFormat="1" applyFill="1"/>
    <xf numFmtId="2" fontId="0" fillId="9" borderId="0" xfId="0" applyNumberFormat="1" applyFill="1" applyAlignment="1">
      <alignment vertical="top"/>
    </xf>
    <xf numFmtId="2" fontId="0" fillId="3" borderId="0" xfId="0" applyNumberFormat="1" applyFill="1" applyAlignment="1">
      <alignment vertical="top"/>
    </xf>
    <xf numFmtId="0" fontId="0" fillId="2" borderId="0" xfId="0" applyFill="1" applyAlignment="1">
      <alignment horizontal="center" vertical="top"/>
    </xf>
    <xf numFmtId="2" fontId="0" fillId="0" borderId="0" xfId="2" applyNumberFormat="1" applyFont="1"/>
    <xf numFmtId="167" fontId="0" fillId="0" borderId="0" xfId="2" applyNumberFormat="1" applyFont="1"/>
    <xf numFmtId="0" fontId="19" fillId="0" borderId="0" xfId="0" applyFont="1"/>
    <xf numFmtId="17" fontId="2" fillId="0" borderId="0" xfId="0" applyNumberFormat="1" applyFont="1" applyAlignment="1">
      <alignment horizontal="center"/>
    </xf>
    <xf numFmtId="0" fontId="4" fillId="0" borderId="0" xfId="0" applyFont="1"/>
    <xf numFmtId="0" fontId="9" fillId="0" borderId="0" xfId="0" applyFont="1" applyAlignment="1">
      <alignment vertical="top"/>
    </xf>
    <xf numFmtId="164" fontId="0" fillId="0" borderId="0" xfId="0" applyNumberFormat="1" applyAlignment="1">
      <alignment vertical="top"/>
    </xf>
    <xf numFmtId="0" fontId="12" fillId="0" borderId="0" xfId="0" applyFont="1"/>
    <xf numFmtId="0" fontId="0" fillId="0" borderId="0" xfId="0" applyAlignment="1">
      <alignment horizontal="right"/>
    </xf>
    <xf numFmtId="3" fontId="9" fillId="0" borderId="0" xfId="0" applyNumberFormat="1" applyFont="1"/>
    <xf numFmtId="165" fontId="9" fillId="0" borderId="0" xfId="0" applyNumberFormat="1" applyFont="1"/>
    <xf numFmtId="2" fontId="9" fillId="0" borderId="0" xfId="0" applyNumberFormat="1" applyFont="1"/>
    <xf numFmtId="0" fontId="13" fillId="0" borderId="0" xfId="0" applyFont="1"/>
    <xf numFmtId="166" fontId="9" fillId="0" borderId="0" xfId="0" applyNumberFormat="1" applyFont="1"/>
    <xf numFmtId="0" fontId="9" fillId="0" borderId="0" xfId="0" applyFont="1" applyAlignment="1">
      <alignment horizontal="right"/>
    </xf>
    <xf numFmtId="10" fontId="0" fillId="0" borderId="0" xfId="3" applyNumberFormat="1" applyFont="1" applyFill="1"/>
    <xf numFmtId="0" fontId="0" fillId="0" borderId="0" xfId="0" applyAlignment="1">
      <alignment horizontal="center"/>
    </xf>
    <xf numFmtId="16" fontId="0" fillId="0" borderId="0" xfId="0" applyNumberFormat="1" applyAlignment="1">
      <alignment horizontal="center" vertical="top"/>
    </xf>
    <xf numFmtId="0" fontId="0" fillId="0" borderId="0" xfId="0" applyAlignment="1">
      <alignment horizontal="center" vertical="top"/>
    </xf>
    <xf numFmtId="0" fontId="0" fillId="0" borderId="0" xfId="0" applyAlignment="1">
      <alignment vertical="top" wrapText="1"/>
    </xf>
    <xf numFmtId="0" fontId="2" fillId="0" borderId="0" xfId="0" applyFont="1" applyAlignment="1">
      <alignment horizontal="center"/>
    </xf>
    <xf numFmtId="0" fontId="2" fillId="0" borderId="0" xfId="0" applyFont="1" applyAlignment="1">
      <alignment horizontal="center" vertical="center"/>
    </xf>
    <xf numFmtId="0" fontId="2" fillId="0" borderId="0" xfId="0" applyFont="1" applyAlignment="1">
      <alignment horizontal="center" vertical="center" wrapText="1"/>
    </xf>
    <xf numFmtId="0" fontId="2" fillId="2" borderId="0" xfId="0" applyFont="1" applyFill="1" applyAlignment="1">
      <alignment horizontal="center" vertical="center"/>
    </xf>
    <xf numFmtId="0" fontId="2" fillId="3" borderId="0" xfId="0" applyFont="1" applyFill="1" applyAlignment="1">
      <alignment horizontal="center" vertical="center"/>
    </xf>
    <xf numFmtId="0" fontId="2" fillId="4" borderId="0" xfId="0" applyFont="1" applyFill="1" applyAlignment="1">
      <alignment horizontal="center" vertical="center"/>
    </xf>
    <xf numFmtId="0" fontId="0" fillId="0" borderId="0" xfId="0" applyAlignment="1">
      <alignment horizontal="left" vertical="top" wrapText="1"/>
    </xf>
    <xf numFmtId="0" fontId="8" fillId="22" borderId="0" xfId="0" applyFont="1" applyFill="1" applyAlignment="1">
      <alignment horizontal="center"/>
    </xf>
    <xf numFmtId="0" fontId="8" fillId="42" borderId="0" xfId="0" applyFont="1" applyFill="1" applyAlignment="1">
      <alignment horizontal="center"/>
    </xf>
    <xf numFmtId="0" fontId="2" fillId="13" borderId="8" xfId="0" applyFont="1" applyFill="1" applyBorder="1" applyAlignment="1">
      <alignment horizontal="center"/>
    </xf>
    <xf numFmtId="0" fontId="2" fillId="23" borderId="7" xfId="0" applyFont="1" applyFill="1" applyBorder="1" applyAlignment="1">
      <alignment horizontal="center"/>
    </xf>
  </cellXfs>
  <cellStyles count="6">
    <cellStyle name="Comma" xfId="5" builtinId="3"/>
    <cellStyle name="Comma 2 2" xfId="1" xr:uid="{B4F5C4DA-EDC1-D943-BEF0-507FC99F51CB}"/>
    <cellStyle name="Comma 3" xfId="4" xr:uid="{D22B8760-A480-F746-844D-72167222CEC9}"/>
    <cellStyle name="Normal" xfId="0" builtinId="0"/>
    <cellStyle name="Percent 2" xfId="2" xr:uid="{DCFA31F0-C0AA-444E-9B3B-C4C43BA67430}"/>
    <cellStyle name="Percent 3" xfId="3" xr:uid="{F929F23F-B90C-1140-A4B7-0866B185E259}"/>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drawings/drawing1.xml><?xml version="1.0" encoding="utf-8"?>
<xdr:wsDr xmlns:xdr="http://schemas.openxmlformats.org/drawingml/2006/spreadsheetDrawing" xmlns:a="http://schemas.openxmlformats.org/drawingml/2006/main">
  <xdr:oneCellAnchor>
    <xdr:from>
      <xdr:col>0</xdr:col>
      <xdr:colOff>0</xdr:colOff>
      <xdr:row>0</xdr:row>
      <xdr:rowOff>0</xdr:rowOff>
    </xdr:from>
    <xdr:ext cx="11234615" cy="2881922"/>
    <xdr:sp macro="" textlink="">
      <xdr:nvSpPr>
        <xdr:cNvPr id="2" name="TextBox 1">
          <a:extLst>
            <a:ext uri="{FF2B5EF4-FFF2-40B4-BE49-F238E27FC236}">
              <a16:creationId xmlns:a16="http://schemas.microsoft.com/office/drawing/2014/main" id="{91D891F1-FD1B-564F-8CD9-4D99B7C824F2}"/>
            </a:ext>
          </a:extLst>
        </xdr:cNvPr>
        <xdr:cNvSpPr txBox="1"/>
      </xdr:nvSpPr>
      <xdr:spPr>
        <a:xfrm>
          <a:off x="0" y="0"/>
          <a:ext cx="11234615" cy="2881922"/>
        </a:xfrm>
        <a:prstGeom prst="rect">
          <a:avLst/>
        </a:prstGeom>
        <a:solidFill>
          <a:srgbClr val="EBF1DE"/>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US" sz="1200" b="1" baseline="0"/>
            <a:t>COVID-19 Impacts</a:t>
          </a:r>
        </a:p>
        <a:p>
          <a:endParaRPr lang="en-US" sz="1200" b="0" baseline="0"/>
        </a:p>
        <a:p>
          <a:r>
            <a:rPr lang="en-US" sz="1200" b="0" baseline="0"/>
            <a:t>You are performing a financial analysis of a company. Table 1 presents selected (but not all) items from the company's annual financial statements for 3 accounting years, 2019-2021, i.e., the year right before the COVID-19 pandemic began and the two subsequent years.</a:t>
          </a:r>
        </a:p>
        <a:p>
          <a:endParaRPr lang="en-US" sz="1200" b="0" baseline="0"/>
        </a:p>
        <a:p>
          <a:r>
            <a:rPr lang="en-US" sz="1200" b="1" baseline="0"/>
            <a:t>Part 1: Preliminary Diagnostics</a:t>
          </a:r>
          <a:endParaRPr lang="en-US" sz="1200" b="0" baseline="0"/>
        </a:p>
        <a:p>
          <a:endParaRPr lang="en-US" sz="1200" b="0" baseline="0"/>
        </a:p>
        <a:p>
          <a:pPr marL="0" marR="0" lvl="0" indent="0" defTabSz="914400" eaLnBrk="1" fontAlgn="auto" latinLnBrk="0" hangingPunct="1">
            <a:lnSpc>
              <a:spcPct val="100000"/>
            </a:lnSpc>
            <a:spcBef>
              <a:spcPts val="0"/>
            </a:spcBef>
            <a:spcAft>
              <a:spcPts val="0"/>
            </a:spcAft>
            <a:buClrTx/>
            <a:buSzTx/>
            <a:buFontTx/>
            <a:buNone/>
            <a:tabLst/>
            <a:defRPr/>
          </a:pPr>
          <a:r>
            <a:rPr lang="en-US" sz="1200" b="0" baseline="0"/>
            <a:t>We will start by identifying the industry and performing prelimilary financial diagnostics of the company. Given that Table 1 has only selected items, we need to compute additional items. If any item cannot be computed from the information provided, write N/A in the cell.</a:t>
          </a:r>
          <a:endParaRPr lang="en-US" sz="1200" b="1" baseline="0"/>
        </a:p>
        <a:p>
          <a:endParaRPr lang="en-US" sz="1200" b="0" baseline="0"/>
        </a:p>
        <a:p>
          <a:endParaRPr lang="en-US" sz="1200" b="1" baseline="0"/>
        </a:p>
      </xdr:txBody>
    </xdr:sp>
    <xdr:clientData/>
  </xdr:oneCellAnchor>
  <xdr:oneCellAnchor>
    <xdr:from>
      <xdr:col>0</xdr:col>
      <xdr:colOff>0</xdr:colOff>
      <xdr:row>24</xdr:row>
      <xdr:rowOff>0</xdr:rowOff>
    </xdr:from>
    <xdr:ext cx="8273143" cy="907142"/>
    <xdr:sp macro="" textlink="">
      <xdr:nvSpPr>
        <xdr:cNvPr id="3" name="TextBox 2">
          <a:extLst>
            <a:ext uri="{FF2B5EF4-FFF2-40B4-BE49-F238E27FC236}">
              <a16:creationId xmlns:a16="http://schemas.microsoft.com/office/drawing/2014/main" id="{040AB959-6D36-7E4B-B1CE-F96ABF1DF78F}"/>
            </a:ext>
          </a:extLst>
        </xdr:cNvPr>
        <xdr:cNvSpPr txBox="1"/>
      </xdr:nvSpPr>
      <xdr:spPr>
        <a:xfrm>
          <a:off x="0" y="4876800"/>
          <a:ext cx="8273143" cy="907142"/>
        </a:xfrm>
        <a:prstGeom prst="rect">
          <a:avLst/>
        </a:prstGeom>
        <a:solidFill>
          <a:srgbClr val="EBF1DE"/>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US" sz="1200" b="1" baseline="0"/>
            <a:t>Part 2: Unlocking the Company's Performance during the Pandemic</a:t>
          </a:r>
          <a:endParaRPr lang="en-US" sz="1200" b="0" baseline="0"/>
        </a:p>
        <a:p>
          <a:endParaRPr lang="en-US" sz="1200" b="0" baseline="0"/>
        </a:p>
        <a:p>
          <a:pPr marL="0" marR="0" lvl="0" indent="0" defTabSz="914400" eaLnBrk="1" fontAlgn="auto" latinLnBrk="0" hangingPunct="1">
            <a:lnSpc>
              <a:spcPct val="100000"/>
            </a:lnSpc>
            <a:spcBef>
              <a:spcPts val="0"/>
            </a:spcBef>
            <a:spcAft>
              <a:spcPts val="0"/>
            </a:spcAft>
            <a:buClrTx/>
            <a:buSzTx/>
            <a:buFontTx/>
            <a:buNone/>
            <a:tabLst/>
            <a:defRPr/>
          </a:pPr>
          <a:r>
            <a:rPr lang="en-US" sz="1200" b="0" baseline="0"/>
            <a:t>Next, we will analize the company's financial situation and the underlying factors.</a:t>
          </a:r>
          <a:endParaRPr lang="en-US" sz="1200" b="1" baseline="0"/>
        </a:p>
      </xdr:txBody>
    </xdr:sp>
    <xdr:clientData/>
  </xdr:oneCellAnchor>
  <xdr:oneCellAnchor>
    <xdr:from>
      <xdr:col>0</xdr:col>
      <xdr:colOff>0</xdr:colOff>
      <xdr:row>44</xdr:row>
      <xdr:rowOff>0</xdr:rowOff>
    </xdr:from>
    <xdr:ext cx="8273143" cy="907142"/>
    <xdr:sp macro="" textlink="">
      <xdr:nvSpPr>
        <xdr:cNvPr id="4" name="TextBox 3">
          <a:extLst>
            <a:ext uri="{FF2B5EF4-FFF2-40B4-BE49-F238E27FC236}">
              <a16:creationId xmlns:a16="http://schemas.microsoft.com/office/drawing/2014/main" id="{E2B26166-707C-734B-A956-89B9DF24786F}"/>
            </a:ext>
          </a:extLst>
        </xdr:cNvPr>
        <xdr:cNvSpPr txBox="1"/>
      </xdr:nvSpPr>
      <xdr:spPr>
        <a:xfrm>
          <a:off x="0" y="8940800"/>
          <a:ext cx="8273143" cy="907142"/>
        </a:xfrm>
        <a:prstGeom prst="rect">
          <a:avLst/>
        </a:prstGeom>
        <a:solidFill>
          <a:srgbClr val="EBF1DE"/>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US" sz="1200" b="1" baseline="0"/>
            <a:t>Part 3: Identifying the Business of the Company</a:t>
          </a:r>
          <a:endParaRPr lang="en-US" sz="1200" b="0" baseline="0"/>
        </a:p>
        <a:p>
          <a:endParaRPr lang="en-US" sz="1200" b="0" baseline="0"/>
        </a:p>
        <a:p>
          <a:pPr marL="0" marR="0" lvl="0" indent="0" defTabSz="914400" eaLnBrk="1" fontAlgn="auto" latinLnBrk="0" hangingPunct="1">
            <a:lnSpc>
              <a:spcPct val="100000"/>
            </a:lnSpc>
            <a:spcBef>
              <a:spcPts val="0"/>
            </a:spcBef>
            <a:spcAft>
              <a:spcPts val="0"/>
            </a:spcAft>
            <a:buClrTx/>
            <a:buSzTx/>
            <a:buFontTx/>
            <a:buNone/>
            <a:tabLst/>
            <a:defRPr/>
          </a:pPr>
          <a:r>
            <a:rPr lang="en-US" sz="1200" b="0" baseline="0"/>
            <a:t>Finally, we will use the financial information and financial analysis performed earlier to identify the business of this company.</a:t>
          </a:r>
          <a:endParaRPr lang="en-US" sz="1200" b="1" baseline="0"/>
        </a:p>
      </xdr:txBody>
    </xdr:sp>
    <xdr:clientData/>
  </xdr:oneCellAnchor>
</xdr:wsDr>
</file>

<file path=xl/drawings/drawing2.xml><?xml version="1.0" encoding="utf-8"?>
<xdr:wsDr xmlns:xdr="http://schemas.openxmlformats.org/drawingml/2006/spreadsheetDrawing" xmlns:a="http://schemas.openxmlformats.org/drawingml/2006/main">
  <xdr:oneCellAnchor>
    <xdr:from>
      <xdr:col>0</xdr:col>
      <xdr:colOff>0</xdr:colOff>
      <xdr:row>0</xdr:row>
      <xdr:rowOff>0</xdr:rowOff>
    </xdr:from>
    <xdr:ext cx="5537200" cy="2019300"/>
    <xdr:sp macro="" textlink="">
      <xdr:nvSpPr>
        <xdr:cNvPr id="2" name="TextBox 1">
          <a:extLst>
            <a:ext uri="{FF2B5EF4-FFF2-40B4-BE49-F238E27FC236}">
              <a16:creationId xmlns:a16="http://schemas.microsoft.com/office/drawing/2014/main" id="{5A88AEB9-AB07-0946-B743-CD0992593DB6}"/>
            </a:ext>
          </a:extLst>
        </xdr:cNvPr>
        <xdr:cNvSpPr txBox="1"/>
      </xdr:nvSpPr>
      <xdr:spPr>
        <a:xfrm>
          <a:off x="0" y="0"/>
          <a:ext cx="5537200" cy="2019300"/>
        </a:xfrm>
        <a:prstGeom prst="rect">
          <a:avLst/>
        </a:prstGeom>
        <a:solidFill>
          <a:srgbClr val="EBF1DE"/>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US" sz="1200" b="1" baseline="0"/>
            <a:t>Triton Toy: Multi-Period Production and Financial Statement</a:t>
          </a:r>
        </a:p>
        <a:p>
          <a:endParaRPr lang="en-US" sz="1200" b="0" baseline="0"/>
        </a:p>
        <a:p>
          <a:r>
            <a:rPr lang="en-US" sz="1200" b="0" baseline="0"/>
            <a:t>You are analyzing the profitability of a toy company called Triton Toy. In this problem, we will follow the production of a toy that Triton Toy receives an order from a customer on January 12, 2024.</a:t>
          </a:r>
        </a:p>
        <a:p>
          <a:endParaRPr lang="en-US" sz="1200" b="0" baseline="0"/>
        </a:p>
        <a:p>
          <a:r>
            <a:rPr lang="en-US" sz="1200" b="1" baseline="0"/>
            <a:t>Part 1: Recording Transactions in January 2024</a:t>
          </a:r>
        </a:p>
        <a:p>
          <a:pPr marL="0" marR="0" lvl="0" indent="0" defTabSz="914400" eaLnBrk="1" fontAlgn="auto" latinLnBrk="0" hangingPunct="1">
            <a:lnSpc>
              <a:spcPct val="100000"/>
            </a:lnSpc>
            <a:spcBef>
              <a:spcPts val="0"/>
            </a:spcBef>
            <a:spcAft>
              <a:spcPts val="0"/>
            </a:spcAft>
            <a:buClrTx/>
            <a:buSzTx/>
            <a:buFontTx/>
            <a:buNone/>
            <a:tabLst/>
            <a:defRPr/>
          </a:pPr>
          <a:r>
            <a:rPr lang="en-US" sz="1200" b="0"/>
            <a:t>For each transaction, identify how it affects each of the accounting items in the balance sheet. Answer INCREASE if the transaction adds value to the item. Answer DECREASE if the transaction substracts value from the item.</a:t>
          </a:r>
        </a:p>
      </xdr:txBody>
    </xdr:sp>
    <xdr:clientData/>
  </xdr:oneCellAnchor>
  <xdr:oneCellAnchor>
    <xdr:from>
      <xdr:col>0</xdr:col>
      <xdr:colOff>0</xdr:colOff>
      <xdr:row>21</xdr:row>
      <xdr:rowOff>0</xdr:rowOff>
    </xdr:from>
    <xdr:ext cx="5524500" cy="1028700"/>
    <xdr:sp macro="" textlink="">
      <xdr:nvSpPr>
        <xdr:cNvPr id="3" name="TextBox 2">
          <a:extLst>
            <a:ext uri="{FF2B5EF4-FFF2-40B4-BE49-F238E27FC236}">
              <a16:creationId xmlns:a16="http://schemas.microsoft.com/office/drawing/2014/main" id="{2E5DD987-9172-7143-94ED-30974D97595D}"/>
            </a:ext>
          </a:extLst>
        </xdr:cNvPr>
        <xdr:cNvSpPr txBox="1"/>
      </xdr:nvSpPr>
      <xdr:spPr>
        <a:xfrm>
          <a:off x="0" y="4775200"/>
          <a:ext cx="5524500" cy="1028700"/>
        </a:xfrm>
        <a:prstGeom prst="rect">
          <a:avLst/>
        </a:prstGeom>
        <a:solidFill>
          <a:srgbClr val="EBF1DE"/>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US" sz="1200" b="1" baseline="0"/>
            <a:t>Part 2: Recording Transactions in February 2024</a:t>
          </a:r>
        </a:p>
        <a:p>
          <a:pPr marL="0" marR="0" lvl="0" indent="0" defTabSz="914400" eaLnBrk="1" fontAlgn="auto" latinLnBrk="0" hangingPunct="1">
            <a:lnSpc>
              <a:spcPct val="100000"/>
            </a:lnSpc>
            <a:spcBef>
              <a:spcPts val="0"/>
            </a:spcBef>
            <a:spcAft>
              <a:spcPts val="0"/>
            </a:spcAft>
            <a:buClrTx/>
            <a:buSzTx/>
            <a:buFontTx/>
            <a:buNone/>
            <a:tabLst/>
            <a:defRPr/>
          </a:pPr>
          <a:r>
            <a:rPr lang="en-US" sz="1200" b="0"/>
            <a:t>For each transaction, identify how it affects each of the accounting items in the balance sheet. Answer INCREASE if the transaction adds value to the item. Answer DECREASE if the transaction substracts value from the item.</a:t>
          </a:r>
        </a:p>
      </xdr:txBody>
    </xdr:sp>
    <xdr:clientData/>
  </xdr:oneCellAnchor>
  <xdr:oneCellAnchor>
    <xdr:from>
      <xdr:col>0</xdr:col>
      <xdr:colOff>0</xdr:colOff>
      <xdr:row>35</xdr:row>
      <xdr:rowOff>0</xdr:rowOff>
    </xdr:from>
    <xdr:ext cx="5524500" cy="635000"/>
    <xdr:sp macro="" textlink="">
      <xdr:nvSpPr>
        <xdr:cNvPr id="4" name="TextBox 3">
          <a:extLst>
            <a:ext uri="{FF2B5EF4-FFF2-40B4-BE49-F238E27FC236}">
              <a16:creationId xmlns:a16="http://schemas.microsoft.com/office/drawing/2014/main" id="{0C890390-BBD1-6B4D-92BD-6C48BD8FA808}"/>
            </a:ext>
          </a:extLst>
        </xdr:cNvPr>
        <xdr:cNvSpPr txBox="1"/>
      </xdr:nvSpPr>
      <xdr:spPr>
        <a:xfrm>
          <a:off x="0" y="8331200"/>
          <a:ext cx="5524500" cy="635000"/>
        </a:xfrm>
        <a:prstGeom prst="rect">
          <a:avLst/>
        </a:prstGeom>
        <a:solidFill>
          <a:srgbClr val="EBF1DE"/>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US" sz="1200" b="1" baseline="0"/>
            <a:t>Part 3: Computing Net Income from Production Activity</a:t>
          </a:r>
          <a:endParaRPr lang="en-US" sz="1200" b="0"/>
        </a:p>
      </xdr:txBody>
    </xdr:sp>
    <xdr:clientData/>
  </xdr:oneCellAnchor>
</xdr:wsDr>
</file>

<file path=xl/drawings/drawing3.xml><?xml version="1.0" encoding="utf-8"?>
<xdr:wsDr xmlns:xdr="http://schemas.openxmlformats.org/drawingml/2006/spreadsheetDrawing" xmlns:a="http://schemas.openxmlformats.org/drawingml/2006/main">
  <xdr:oneCellAnchor>
    <xdr:from>
      <xdr:col>0</xdr:col>
      <xdr:colOff>0</xdr:colOff>
      <xdr:row>0</xdr:row>
      <xdr:rowOff>0</xdr:rowOff>
    </xdr:from>
    <xdr:ext cx="6625167" cy="1666875"/>
    <xdr:sp macro="" textlink="">
      <xdr:nvSpPr>
        <xdr:cNvPr id="2" name="TextBox 1">
          <a:extLst>
            <a:ext uri="{FF2B5EF4-FFF2-40B4-BE49-F238E27FC236}">
              <a16:creationId xmlns:a16="http://schemas.microsoft.com/office/drawing/2014/main" id="{AC751191-1590-4949-8B0F-80C23D6ABE40}"/>
            </a:ext>
          </a:extLst>
        </xdr:cNvPr>
        <xdr:cNvSpPr txBox="1"/>
      </xdr:nvSpPr>
      <xdr:spPr>
        <a:xfrm>
          <a:off x="0" y="0"/>
          <a:ext cx="6625167" cy="1666875"/>
        </a:xfrm>
        <a:prstGeom prst="rect">
          <a:avLst/>
        </a:prstGeom>
        <a:solidFill>
          <a:srgbClr val="EBF1DE"/>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US" sz="1200" b="1" baseline="0"/>
            <a:t>Using Financial Statements to Analyze a Company's Liquidity</a:t>
          </a:r>
        </a:p>
        <a:p>
          <a:endParaRPr lang="en-US" sz="1200" b="0" baseline="0"/>
        </a:p>
        <a:p>
          <a:r>
            <a:rPr lang="en-US" sz="1200" b="0" baseline="0"/>
            <a:t>You are performing a financial analysis of a company based in the US. Table 1 presents selected (but not all) items from the company's quarterly financial statements over the past 8 quarters.</a:t>
          </a:r>
        </a:p>
        <a:p>
          <a:endParaRPr lang="en-US" sz="1200" b="0" baseline="0"/>
        </a:p>
        <a:p>
          <a:r>
            <a:rPr lang="en-US" sz="1200" b="1" baseline="0"/>
            <a:t>Part 1: Computing Numbers Not Reported in Table 1</a:t>
          </a:r>
          <a:endParaRPr lang="en-US" sz="1200" b="0" baseline="0"/>
        </a:p>
      </xdr:txBody>
    </xdr:sp>
    <xdr:clientData/>
  </xdr:oneCellAnchor>
  <xdr:oneCellAnchor>
    <xdr:from>
      <xdr:col>0</xdr:col>
      <xdr:colOff>0</xdr:colOff>
      <xdr:row>19</xdr:row>
      <xdr:rowOff>15875</xdr:rowOff>
    </xdr:from>
    <xdr:ext cx="6625167" cy="619125"/>
    <xdr:sp macro="" textlink="">
      <xdr:nvSpPr>
        <xdr:cNvPr id="3" name="TextBox 2">
          <a:extLst>
            <a:ext uri="{FF2B5EF4-FFF2-40B4-BE49-F238E27FC236}">
              <a16:creationId xmlns:a16="http://schemas.microsoft.com/office/drawing/2014/main" id="{44B30041-5C68-1348-B52C-65FD9725E584}"/>
            </a:ext>
          </a:extLst>
        </xdr:cNvPr>
        <xdr:cNvSpPr txBox="1"/>
      </xdr:nvSpPr>
      <xdr:spPr>
        <a:xfrm>
          <a:off x="0" y="3876675"/>
          <a:ext cx="6625167" cy="619125"/>
        </a:xfrm>
        <a:prstGeom prst="rect">
          <a:avLst/>
        </a:prstGeom>
        <a:solidFill>
          <a:srgbClr val="EBF1DE"/>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US" sz="1200" b="1" baseline="0"/>
            <a:t>Part 2: Analysing the Company's Liquidity</a:t>
          </a:r>
          <a:endParaRPr lang="en-US" sz="1200" b="0" baseline="0"/>
        </a:p>
      </xdr:txBody>
    </xdr:sp>
    <xdr:clientData/>
  </xdr:oneCellAnchor>
</xdr:wsDr>
</file>

<file path=xl/drawings/drawing4.xml><?xml version="1.0" encoding="utf-8"?>
<xdr:wsDr xmlns:xdr="http://schemas.openxmlformats.org/drawingml/2006/spreadsheetDrawing" xmlns:a="http://schemas.openxmlformats.org/drawingml/2006/main">
  <xdr:oneCellAnchor>
    <xdr:from>
      <xdr:col>0</xdr:col>
      <xdr:colOff>0</xdr:colOff>
      <xdr:row>0</xdr:row>
      <xdr:rowOff>1</xdr:rowOff>
    </xdr:from>
    <xdr:ext cx="6625167" cy="1638300"/>
    <xdr:sp macro="" textlink="">
      <xdr:nvSpPr>
        <xdr:cNvPr id="2" name="TextBox 1">
          <a:extLst>
            <a:ext uri="{FF2B5EF4-FFF2-40B4-BE49-F238E27FC236}">
              <a16:creationId xmlns:a16="http://schemas.microsoft.com/office/drawing/2014/main" id="{C72C90B2-B09F-3745-8EDE-69D39F9C60A4}"/>
            </a:ext>
          </a:extLst>
        </xdr:cNvPr>
        <xdr:cNvSpPr txBox="1"/>
      </xdr:nvSpPr>
      <xdr:spPr>
        <a:xfrm>
          <a:off x="0" y="1"/>
          <a:ext cx="6625167" cy="1638300"/>
        </a:xfrm>
        <a:prstGeom prst="rect">
          <a:avLst/>
        </a:prstGeom>
        <a:solidFill>
          <a:srgbClr val="EBF1DE"/>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US" sz="1200" b="1" baseline="0"/>
            <a:t>Unlocking a Company's Financial Trouble</a:t>
          </a:r>
        </a:p>
        <a:p>
          <a:endParaRPr lang="en-US" sz="1200" b="0" baseline="0"/>
        </a:p>
        <a:p>
          <a:r>
            <a:rPr lang="en-US" sz="1200" b="0" baseline="0"/>
            <a:t>You are performing a financial analysis of a company based in the US. Table 1 presents selected (but not all) items from the company's annual financial statements over the past 4 years.</a:t>
          </a:r>
        </a:p>
        <a:p>
          <a:endParaRPr lang="en-US" sz="1200" b="0" baseline="0"/>
        </a:p>
        <a:p>
          <a:pPr marL="0" marR="0" lvl="0" indent="0" defTabSz="914400" eaLnBrk="1" fontAlgn="auto" latinLnBrk="0" hangingPunct="1">
            <a:lnSpc>
              <a:spcPct val="100000"/>
            </a:lnSpc>
            <a:spcBef>
              <a:spcPts val="0"/>
            </a:spcBef>
            <a:spcAft>
              <a:spcPts val="0"/>
            </a:spcAft>
            <a:buClrTx/>
            <a:buSzTx/>
            <a:buFontTx/>
            <a:buNone/>
            <a:tabLst/>
            <a:defRPr/>
          </a:pPr>
          <a:r>
            <a:rPr lang="en-US" sz="1200" b="1" baseline="0"/>
            <a:t>Part 1: Analyzing the Company's Capital Structure</a:t>
          </a:r>
        </a:p>
      </xdr:txBody>
    </xdr:sp>
    <xdr:clientData/>
  </xdr:oneCellAnchor>
  <xdr:oneCellAnchor>
    <xdr:from>
      <xdr:col>0</xdr:col>
      <xdr:colOff>0</xdr:colOff>
      <xdr:row>17</xdr:row>
      <xdr:rowOff>0</xdr:rowOff>
    </xdr:from>
    <xdr:ext cx="6625167" cy="1041400"/>
    <xdr:sp macro="" textlink="">
      <xdr:nvSpPr>
        <xdr:cNvPr id="3" name="TextBox 2">
          <a:extLst>
            <a:ext uri="{FF2B5EF4-FFF2-40B4-BE49-F238E27FC236}">
              <a16:creationId xmlns:a16="http://schemas.microsoft.com/office/drawing/2014/main" id="{A2F018E6-9F37-7143-B8D7-E087AEEE3476}"/>
            </a:ext>
          </a:extLst>
        </xdr:cNvPr>
        <xdr:cNvSpPr txBox="1"/>
      </xdr:nvSpPr>
      <xdr:spPr>
        <a:xfrm>
          <a:off x="0" y="3454400"/>
          <a:ext cx="6625167" cy="1041400"/>
        </a:xfrm>
        <a:prstGeom prst="rect">
          <a:avLst/>
        </a:prstGeom>
        <a:solidFill>
          <a:srgbClr val="EBF1DE"/>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marL="0" marR="0" lvl="0" indent="0" defTabSz="914400" eaLnBrk="1" fontAlgn="auto" latinLnBrk="0" hangingPunct="1">
            <a:lnSpc>
              <a:spcPct val="100000"/>
            </a:lnSpc>
            <a:spcBef>
              <a:spcPts val="0"/>
            </a:spcBef>
            <a:spcAft>
              <a:spcPts val="0"/>
            </a:spcAft>
            <a:buClrTx/>
            <a:buSzTx/>
            <a:buFontTx/>
            <a:buNone/>
            <a:tabLst/>
            <a:defRPr/>
          </a:pPr>
          <a:r>
            <a:rPr lang="en-US" sz="1200" b="1" baseline="0"/>
            <a:t>Part 2: Decomposing the Sources of Financial Trouble</a:t>
          </a:r>
          <a:endParaRPr lang="en-US" sz="1200" b="0" baseline="0"/>
        </a:p>
        <a:p>
          <a:pPr marL="0" marR="0" lvl="0" indent="0" defTabSz="914400" eaLnBrk="1" fontAlgn="auto" latinLnBrk="0" hangingPunct="1">
            <a:lnSpc>
              <a:spcPct val="100000"/>
            </a:lnSpc>
            <a:spcBef>
              <a:spcPts val="0"/>
            </a:spcBef>
            <a:spcAft>
              <a:spcPts val="0"/>
            </a:spcAft>
            <a:buClrTx/>
            <a:buSzTx/>
            <a:buFontTx/>
            <a:buNone/>
            <a:tabLst/>
            <a:defRPr/>
          </a:pPr>
          <a:endParaRPr lang="en-US" sz="1200" b="0" baseline="0"/>
        </a:p>
        <a:p>
          <a:pPr marL="0" marR="0" lvl="0" indent="0" defTabSz="914400" eaLnBrk="1" fontAlgn="auto" latinLnBrk="0" hangingPunct="1">
            <a:lnSpc>
              <a:spcPct val="100000"/>
            </a:lnSpc>
            <a:spcBef>
              <a:spcPts val="0"/>
            </a:spcBef>
            <a:spcAft>
              <a:spcPts val="0"/>
            </a:spcAft>
            <a:buClrTx/>
            <a:buSzTx/>
            <a:buFontTx/>
            <a:buNone/>
            <a:tabLst/>
            <a:defRPr/>
          </a:pPr>
          <a:r>
            <a:rPr lang="en-US" sz="1200" b="0" baseline="0"/>
            <a:t>Next, we will analyze the sources of this company's financial trouble using the Dupont Decomposition. </a:t>
          </a:r>
          <a:r>
            <a:rPr lang="en-US" sz="1200" b="1" baseline="0"/>
            <a:t>Since the company's earnings before taxes (EBT) is negative, let's assume that the income tax is zero.</a:t>
          </a:r>
        </a:p>
      </xdr:txBody>
    </xdr:sp>
    <xdr:clientData/>
  </xdr:oneCellAnchor>
</xdr:wsDr>
</file>

<file path=xl/drawings/drawing5.xml><?xml version="1.0" encoding="utf-8"?>
<xdr:wsDr xmlns:xdr="http://schemas.openxmlformats.org/drawingml/2006/spreadsheetDrawing" xmlns:a="http://schemas.openxmlformats.org/drawingml/2006/main">
  <xdr:oneCellAnchor>
    <xdr:from>
      <xdr:col>0</xdr:col>
      <xdr:colOff>0</xdr:colOff>
      <xdr:row>0</xdr:row>
      <xdr:rowOff>0</xdr:rowOff>
    </xdr:from>
    <xdr:ext cx="8245929" cy="2051538"/>
    <xdr:sp macro="" textlink="">
      <xdr:nvSpPr>
        <xdr:cNvPr id="2" name="TextBox 1">
          <a:extLst>
            <a:ext uri="{FF2B5EF4-FFF2-40B4-BE49-F238E27FC236}">
              <a16:creationId xmlns:a16="http://schemas.microsoft.com/office/drawing/2014/main" id="{F70FC20A-D13D-9D40-BE1F-4050887BDD27}"/>
            </a:ext>
          </a:extLst>
        </xdr:cNvPr>
        <xdr:cNvSpPr txBox="1"/>
      </xdr:nvSpPr>
      <xdr:spPr>
        <a:xfrm>
          <a:off x="0" y="0"/>
          <a:ext cx="8245929" cy="2051538"/>
        </a:xfrm>
        <a:prstGeom prst="rect">
          <a:avLst/>
        </a:prstGeom>
        <a:solidFill>
          <a:srgbClr val="EBF1DE"/>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US" sz="1200" b="1" baseline="0"/>
            <a:t>COVID Victim?</a:t>
          </a:r>
        </a:p>
        <a:p>
          <a:endParaRPr lang="en-US" sz="1200" b="0" baseline="0"/>
        </a:p>
        <a:p>
          <a:r>
            <a:rPr lang="en-US" sz="1200" b="0" baseline="0"/>
            <a:t>You are performing a financial analysis of a company based in the US. Table 1 presents selected (but not all) items from the company's annual financial statements for 4 accounting years, 2016-2019.</a:t>
          </a:r>
        </a:p>
        <a:p>
          <a:endParaRPr lang="en-US" sz="1200" b="0" baseline="0"/>
        </a:p>
        <a:p>
          <a:r>
            <a:rPr lang="en-US" sz="1200" b="1" baseline="0"/>
            <a:t>Part 1: Preliminary Diagnostics</a:t>
          </a:r>
          <a:endParaRPr lang="en-US" sz="1200" b="0" baseline="0"/>
        </a:p>
        <a:p>
          <a:endParaRPr lang="en-US" sz="1200" b="0" baseline="0"/>
        </a:p>
        <a:p>
          <a:pPr marL="0" marR="0" lvl="0" indent="0" defTabSz="914400" eaLnBrk="1" fontAlgn="auto" latinLnBrk="0" hangingPunct="1">
            <a:lnSpc>
              <a:spcPct val="100000"/>
            </a:lnSpc>
            <a:spcBef>
              <a:spcPts val="0"/>
            </a:spcBef>
            <a:spcAft>
              <a:spcPts val="0"/>
            </a:spcAft>
            <a:buClrTx/>
            <a:buSzTx/>
            <a:buFontTx/>
            <a:buNone/>
            <a:tabLst/>
            <a:defRPr/>
          </a:pPr>
          <a:r>
            <a:rPr lang="en-US" sz="1200" b="0" baseline="0"/>
            <a:t>We will start by identifying the industry and performing prelimilary financial diagnostics of the company. Given that Table 1 has only selected items, we need to compute additional items.</a:t>
          </a:r>
          <a:endParaRPr lang="en-US" sz="1200" b="1" baseline="0"/>
        </a:p>
        <a:p>
          <a:endParaRPr lang="en-US" sz="1200" b="1" baseline="0"/>
        </a:p>
      </xdr:txBody>
    </xdr:sp>
    <xdr:clientData/>
  </xdr:oneCellAnchor>
  <xdr:oneCellAnchor>
    <xdr:from>
      <xdr:col>0</xdr:col>
      <xdr:colOff>0</xdr:colOff>
      <xdr:row>21</xdr:row>
      <xdr:rowOff>1</xdr:rowOff>
    </xdr:from>
    <xdr:ext cx="8273143" cy="907142"/>
    <xdr:sp macro="" textlink="">
      <xdr:nvSpPr>
        <xdr:cNvPr id="3" name="TextBox 2">
          <a:extLst>
            <a:ext uri="{FF2B5EF4-FFF2-40B4-BE49-F238E27FC236}">
              <a16:creationId xmlns:a16="http://schemas.microsoft.com/office/drawing/2014/main" id="{AEECF031-FC96-C848-A1A6-6F279CCA7034}"/>
            </a:ext>
          </a:extLst>
        </xdr:cNvPr>
        <xdr:cNvSpPr txBox="1"/>
      </xdr:nvSpPr>
      <xdr:spPr>
        <a:xfrm>
          <a:off x="0" y="4267201"/>
          <a:ext cx="8273143" cy="907142"/>
        </a:xfrm>
        <a:prstGeom prst="rect">
          <a:avLst/>
        </a:prstGeom>
        <a:solidFill>
          <a:srgbClr val="EBF1DE"/>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US" sz="1200" b="1" baseline="0"/>
            <a:t>Part 2: Unlocking the Company's Financial Trouble</a:t>
          </a:r>
          <a:endParaRPr lang="en-US" sz="1200" b="0" baseline="0"/>
        </a:p>
        <a:p>
          <a:endParaRPr lang="en-US" sz="1200" b="0" baseline="0"/>
        </a:p>
        <a:p>
          <a:pPr marL="0" marR="0" lvl="0" indent="0" defTabSz="914400" eaLnBrk="1" fontAlgn="auto" latinLnBrk="0" hangingPunct="1">
            <a:lnSpc>
              <a:spcPct val="100000"/>
            </a:lnSpc>
            <a:spcBef>
              <a:spcPts val="0"/>
            </a:spcBef>
            <a:spcAft>
              <a:spcPts val="0"/>
            </a:spcAft>
            <a:buClrTx/>
            <a:buSzTx/>
            <a:buFontTx/>
            <a:buNone/>
            <a:tabLst/>
            <a:defRPr/>
          </a:pPr>
          <a:r>
            <a:rPr lang="en-US" sz="1200" b="0" baseline="0"/>
            <a:t>Next, we will analize the company's financial trouble and the underlying factors that contributed to the problem.</a:t>
          </a:r>
          <a:endParaRPr lang="en-US" sz="1200" b="1" baseline="0"/>
        </a:p>
      </xdr:txBody>
    </xdr:sp>
    <xdr:clientData/>
  </xdr:oneCellAnchor>
  <xdr:oneCellAnchor>
    <xdr:from>
      <xdr:col>0</xdr:col>
      <xdr:colOff>0</xdr:colOff>
      <xdr:row>42</xdr:row>
      <xdr:rowOff>0</xdr:rowOff>
    </xdr:from>
    <xdr:ext cx="8273143" cy="1224642"/>
    <xdr:sp macro="" textlink="">
      <xdr:nvSpPr>
        <xdr:cNvPr id="4" name="TextBox 3">
          <a:extLst>
            <a:ext uri="{FF2B5EF4-FFF2-40B4-BE49-F238E27FC236}">
              <a16:creationId xmlns:a16="http://schemas.microsoft.com/office/drawing/2014/main" id="{0DBC7D37-BBF7-5C47-B11F-DA6927B6535B}"/>
            </a:ext>
          </a:extLst>
        </xdr:cNvPr>
        <xdr:cNvSpPr txBox="1"/>
      </xdr:nvSpPr>
      <xdr:spPr>
        <a:xfrm>
          <a:off x="0" y="8534400"/>
          <a:ext cx="8273143" cy="1224642"/>
        </a:xfrm>
        <a:prstGeom prst="rect">
          <a:avLst/>
        </a:prstGeom>
        <a:solidFill>
          <a:srgbClr val="EBF1DE"/>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US" sz="1200" b="1" baseline="0"/>
            <a:t>Part 3 (EXTRA): How Long Could the Company Survive?</a:t>
          </a:r>
          <a:endParaRPr lang="en-US" sz="1200" b="0" baseline="0"/>
        </a:p>
        <a:p>
          <a:endParaRPr lang="en-US" sz="1200" b="0" baseline="0"/>
        </a:p>
        <a:p>
          <a:pPr marL="0" marR="0" lvl="0" indent="0" defTabSz="914400" eaLnBrk="1" fontAlgn="auto" latinLnBrk="0" hangingPunct="1">
            <a:lnSpc>
              <a:spcPct val="100000"/>
            </a:lnSpc>
            <a:spcBef>
              <a:spcPts val="0"/>
            </a:spcBef>
            <a:spcAft>
              <a:spcPts val="0"/>
            </a:spcAft>
            <a:buClrTx/>
            <a:buSzTx/>
            <a:buFontTx/>
            <a:buNone/>
            <a:tabLst/>
            <a:defRPr/>
          </a:pPr>
          <a:r>
            <a:rPr lang="en-US" sz="1200" b="0" baseline="0"/>
            <a:t>Given that the company was in financial trouble. You would like to analyze further how much longer the company could remain in business. In doing so, you invent two financial ratios that may reveal more insights about the company's financial situation.</a:t>
          </a:r>
          <a:endParaRPr lang="en-US" sz="1200" b="1" baseline="0"/>
        </a:p>
      </xdr:txBody>
    </xdr:sp>
    <xdr:clientData/>
  </xdr:oneCellAnchor>
  <xdr:oneCellAnchor>
    <xdr:from>
      <xdr:col>0</xdr:col>
      <xdr:colOff>0</xdr:colOff>
      <xdr:row>57</xdr:row>
      <xdr:rowOff>205153</xdr:rowOff>
    </xdr:from>
    <xdr:ext cx="8273143" cy="1025769"/>
    <xdr:sp macro="" textlink="">
      <xdr:nvSpPr>
        <xdr:cNvPr id="5" name="TextBox 4">
          <a:extLst>
            <a:ext uri="{FF2B5EF4-FFF2-40B4-BE49-F238E27FC236}">
              <a16:creationId xmlns:a16="http://schemas.microsoft.com/office/drawing/2014/main" id="{374A8059-80C1-7747-8C9A-2D846942F1B4}"/>
            </a:ext>
          </a:extLst>
        </xdr:cNvPr>
        <xdr:cNvSpPr txBox="1"/>
      </xdr:nvSpPr>
      <xdr:spPr>
        <a:xfrm>
          <a:off x="0" y="11787553"/>
          <a:ext cx="8273143" cy="1025769"/>
        </a:xfrm>
        <a:prstGeom prst="rect">
          <a:avLst/>
        </a:prstGeom>
        <a:solidFill>
          <a:srgbClr val="EBF1DE"/>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US" sz="1200" b="1" baseline="0"/>
            <a:t>Part 4: Bankruptcy and Liquidation</a:t>
          </a:r>
          <a:endParaRPr lang="en-US" sz="1200" b="0" baseline="0"/>
        </a:p>
        <a:p>
          <a:endParaRPr lang="en-US" sz="1200" b="0" baseline="0"/>
        </a:p>
        <a:p>
          <a:r>
            <a:rPr lang="en-US" sz="1200" b="0" baseline="0"/>
            <a:t>In 2020, amidst the COVID-19 economic crisis, the company announced that it would shut down the business completely and liquidate the company.</a:t>
          </a:r>
        </a:p>
      </xdr:txBody>
    </xdr:sp>
    <xdr:clientData/>
  </xdr:oneCellAnchor>
</xdr:wsDr>
</file>

<file path=xl/drawings/drawing6.xml><?xml version="1.0" encoding="utf-8"?>
<xdr:wsDr xmlns:xdr="http://schemas.openxmlformats.org/drawingml/2006/spreadsheetDrawing" xmlns:a="http://schemas.openxmlformats.org/drawingml/2006/main">
  <xdr:oneCellAnchor>
    <xdr:from>
      <xdr:col>0</xdr:col>
      <xdr:colOff>0</xdr:colOff>
      <xdr:row>0</xdr:row>
      <xdr:rowOff>0</xdr:rowOff>
    </xdr:from>
    <xdr:ext cx="11531600" cy="1219200"/>
    <xdr:sp macro="" textlink="">
      <xdr:nvSpPr>
        <xdr:cNvPr id="2" name="TextBox 1">
          <a:extLst>
            <a:ext uri="{FF2B5EF4-FFF2-40B4-BE49-F238E27FC236}">
              <a16:creationId xmlns:a16="http://schemas.microsoft.com/office/drawing/2014/main" id="{55D2BDE5-D5F3-8C4A-A22E-D961A0EA4DBF}"/>
            </a:ext>
          </a:extLst>
        </xdr:cNvPr>
        <xdr:cNvSpPr txBox="1"/>
      </xdr:nvSpPr>
      <xdr:spPr>
        <a:xfrm>
          <a:off x="0" y="0"/>
          <a:ext cx="11531600" cy="1219200"/>
        </a:xfrm>
        <a:prstGeom prst="rect">
          <a:avLst/>
        </a:prstGeom>
        <a:solidFill>
          <a:srgbClr val="EBF1DE"/>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US" sz="1200" b="1"/>
            <a:t>Household Enterprises</a:t>
          </a:r>
          <a:r>
            <a:rPr lang="en-US" sz="1200" b="1" baseline="0"/>
            <a:t> in</a:t>
          </a:r>
          <a:r>
            <a:rPr lang="en-US" sz="1200" b="1"/>
            <a:t> Village Economy</a:t>
          </a:r>
          <a:endParaRPr lang="en-US" sz="1200" b="1" baseline="0"/>
        </a:p>
        <a:p>
          <a:endParaRPr lang="en-US" sz="1200" b="0"/>
        </a:p>
        <a:p>
          <a:r>
            <a:rPr lang="en-US" sz="1200" b="1"/>
            <a:t>Part 1</a:t>
          </a:r>
          <a:endParaRPr lang="en-US" sz="1200" b="0"/>
        </a:p>
        <a:p>
          <a:r>
            <a:rPr lang="en-US" sz="1200" b="0"/>
            <a:t>You are working for the</a:t>
          </a:r>
          <a:r>
            <a:rPr lang="en-US" sz="1200" b="0" baseline="0"/>
            <a:t> World Bank and are in charge of studying household business enterprises in rural villages in a developing country. You conduct a survey, asking a series of detailed questions, and use the information you gather from the surveyed households to compute their financial information. Below are the information for three households from the survey.</a:t>
          </a:r>
          <a:endParaRPr lang="en-US" sz="1200" b="0"/>
        </a:p>
      </xdr:txBody>
    </xdr:sp>
    <xdr:clientData/>
  </xdr:oneCellAnchor>
  <xdr:oneCellAnchor>
    <xdr:from>
      <xdr:col>0</xdr:col>
      <xdr:colOff>0</xdr:colOff>
      <xdr:row>38</xdr:row>
      <xdr:rowOff>0</xdr:rowOff>
    </xdr:from>
    <xdr:ext cx="11531600" cy="904240"/>
    <xdr:sp macro="" textlink="">
      <xdr:nvSpPr>
        <xdr:cNvPr id="3" name="TextBox 2">
          <a:extLst>
            <a:ext uri="{FF2B5EF4-FFF2-40B4-BE49-F238E27FC236}">
              <a16:creationId xmlns:a16="http://schemas.microsoft.com/office/drawing/2014/main" id="{388E604A-78BD-E14E-A177-22CA7C435EB0}"/>
            </a:ext>
          </a:extLst>
        </xdr:cNvPr>
        <xdr:cNvSpPr txBox="1"/>
      </xdr:nvSpPr>
      <xdr:spPr>
        <a:xfrm>
          <a:off x="0" y="7721600"/>
          <a:ext cx="11531600" cy="904240"/>
        </a:xfrm>
        <a:prstGeom prst="rect">
          <a:avLst/>
        </a:prstGeom>
        <a:solidFill>
          <a:srgbClr val="EBF1DE"/>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US" sz="1200" b="1"/>
            <a:t>Part 2</a:t>
          </a:r>
          <a:endParaRPr lang="en-US" sz="1200" b="0"/>
        </a:p>
        <a:p>
          <a:r>
            <a:rPr lang="en-US" sz="1200" b="0"/>
            <a:t>You know from another</a:t>
          </a:r>
          <a:r>
            <a:rPr lang="en-US" sz="1200" b="0" baseline="0"/>
            <a:t> part of the survey that these three households are (1) a moneylender who borrows money from outside the village and re-lend the money to other households in her village, (2) a rice farmer who grows rice from seeds and sells harvested rice several months later, and (3) a chicken farmer who raises chickens and sells chicken eggs everyday in the village market.</a:t>
          </a:r>
          <a:endParaRPr lang="en-US" sz="1200" b="0"/>
        </a:p>
      </xdr:txBody>
    </xdr:sp>
    <xdr:clientData/>
  </xdr:oneCellAnchor>
</xdr:wsDr>
</file>

<file path=xl/drawings/drawing7.xml><?xml version="1.0" encoding="utf-8"?>
<xdr:wsDr xmlns:xdr="http://schemas.openxmlformats.org/drawingml/2006/spreadsheetDrawing" xmlns:a="http://schemas.openxmlformats.org/drawingml/2006/main">
  <xdr:oneCellAnchor>
    <xdr:from>
      <xdr:col>0</xdr:col>
      <xdr:colOff>0</xdr:colOff>
      <xdr:row>0</xdr:row>
      <xdr:rowOff>0</xdr:rowOff>
    </xdr:from>
    <xdr:ext cx="10371666" cy="1016000"/>
    <xdr:sp macro="" textlink="">
      <xdr:nvSpPr>
        <xdr:cNvPr id="2" name="TextBox 1">
          <a:extLst>
            <a:ext uri="{FF2B5EF4-FFF2-40B4-BE49-F238E27FC236}">
              <a16:creationId xmlns:a16="http://schemas.microsoft.com/office/drawing/2014/main" id="{D9A59662-1E2E-3746-875D-E3B5DDC8F48F}"/>
            </a:ext>
          </a:extLst>
        </xdr:cNvPr>
        <xdr:cNvSpPr txBox="1"/>
      </xdr:nvSpPr>
      <xdr:spPr>
        <a:xfrm>
          <a:off x="0" y="0"/>
          <a:ext cx="10371666" cy="1016000"/>
        </a:xfrm>
        <a:prstGeom prst="rect">
          <a:avLst/>
        </a:prstGeom>
        <a:solidFill>
          <a:srgbClr val="EBF1DE"/>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US" sz="1200" b="1"/>
            <a:t>Survival of the Fittest</a:t>
          </a:r>
          <a:endParaRPr lang="en-US" sz="1200" b="0"/>
        </a:p>
        <a:p>
          <a:endParaRPr lang="en-US" sz="1200" b="0"/>
        </a:p>
        <a:p>
          <a:r>
            <a:rPr lang="en-US" sz="1200" b="0"/>
            <a:t>Consider</a:t>
          </a:r>
          <a:r>
            <a:rPr lang="en-US" sz="1200" b="0" baseline="0"/>
            <a:t> financial statements of two companies that were operating in the </a:t>
          </a:r>
          <a:r>
            <a:rPr lang="en-US" sz="1200" b="1" u="sng" baseline="0"/>
            <a:t>same industry</a:t>
          </a:r>
          <a:r>
            <a:rPr lang="en-US" sz="1200" b="0" baseline="0"/>
            <a:t>. The statements were from fiscal year 2010 and, sadly, one of these two companies went bankrupt shortly afterward while the other one remains in operation to this day. The numbers are in million dollars.</a:t>
          </a:r>
          <a:endParaRPr lang="en-US" sz="1200" b="0"/>
        </a:p>
      </xdr:txBody>
    </xdr:sp>
    <xdr:clientData/>
  </xdr:oneCellAnchor>
</xdr:wsDr>
</file>

<file path=xl/drawings/drawing8.xml><?xml version="1.0" encoding="utf-8"?>
<xdr:wsDr xmlns:xdr="http://schemas.openxmlformats.org/drawingml/2006/spreadsheetDrawing" xmlns:a="http://schemas.openxmlformats.org/drawingml/2006/main">
  <xdr:oneCellAnchor>
    <xdr:from>
      <xdr:col>0</xdr:col>
      <xdr:colOff>0</xdr:colOff>
      <xdr:row>0</xdr:row>
      <xdr:rowOff>0</xdr:rowOff>
    </xdr:from>
    <xdr:ext cx="7463692" cy="2051538"/>
    <xdr:sp macro="" textlink="">
      <xdr:nvSpPr>
        <xdr:cNvPr id="2" name="TextBox 1">
          <a:extLst>
            <a:ext uri="{FF2B5EF4-FFF2-40B4-BE49-F238E27FC236}">
              <a16:creationId xmlns:a16="http://schemas.microsoft.com/office/drawing/2014/main" id="{6A4C0307-28B9-CE40-91CE-DD56C72785F1}"/>
            </a:ext>
          </a:extLst>
        </xdr:cNvPr>
        <xdr:cNvSpPr txBox="1"/>
      </xdr:nvSpPr>
      <xdr:spPr>
        <a:xfrm>
          <a:off x="0" y="0"/>
          <a:ext cx="7463692" cy="2051538"/>
        </a:xfrm>
        <a:prstGeom prst="rect">
          <a:avLst/>
        </a:prstGeom>
        <a:solidFill>
          <a:srgbClr val="EBF1DE"/>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US" sz="1200" b="1" baseline="0"/>
            <a:t>Leverage and Return on Equity of an SME</a:t>
          </a:r>
          <a:endParaRPr lang="en-US" sz="1200" b="0" baseline="0"/>
        </a:p>
        <a:p>
          <a:endParaRPr lang="en-US" sz="1200" b="0" baseline="0"/>
        </a:p>
        <a:p>
          <a:r>
            <a:rPr lang="en-US" sz="1200" b="0" baseline="0"/>
            <a:t>You are hired by the Asian Development Bank (ADB) to help them analyze financial data from small and medium enterprises (SMEs) in a developing country in Asia. Column (A) of Table 1 presents selected items of the financial statements of an enterprise in your data. You would like to analyze how much return on equity of this enterprise is impacted by its leverage (i.e., debt financing).</a:t>
          </a:r>
        </a:p>
        <a:p>
          <a:endParaRPr lang="en-US" sz="1200" b="0" baseline="0"/>
        </a:p>
        <a:p>
          <a:r>
            <a:rPr lang="en-US" sz="1200" b="1" baseline="0"/>
            <a:t>Part 1: Dupont Decomposition of ROE</a:t>
          </a:r>
          <a:endParaRPr lang="en-US" sz="1200" b="0" baseline="0"/>
        </a:p>
        <a:p>
          <a:endParaRPr lang="en-US" sz="1200" b="0" baseline="0"/>
        </a:p>
        <a:p>
          <a:r>
            <a:rPr lang="en-US" sz="1200" b="0" baseline="0"/>
            <a:t>Using the information provided in Column (A) of Table 1, answer the following questions.</a:t>
          </a:r>
          <a:endParaRPr lang="en-US" sz="1200" b="1" baseline="0"/>
        </a:p>
      </xdr:txBody>
    </xdr:sp>
    <xdr:clientData/>
  </xdr:oneCellAnchor>
  <xdr:oneCellAnchor>
    <xdr:from>
      <xdr:col>0</xdr:col>
      <xdr:colOff>0</xdr:colOff>
      <xdr:row>26</xdr:row>
      <xdr:rowOff>0</xdr:rowOff>
    </xdr:from>
    <xdr:ext cx="7463692" cy="2051538"/>
    <xdr:sp macro="" textlink="">
      <xdr:nvSpPr>
        <xdr:cNvPr id="3" name="TextBox 2">
          <a:extLst>
            <a:ext uri="{FF2B5EF4-FFF2-40B4-BE49-F238E27FC236}">
              <a16:creationId xmlns:a16="http://schemas.microsoft.com/office/drawing/2014/main" id="{9E35C320-3C29-154F-89C2-DA251E838066}"/>
            </a:ext>
          </a:extLst>
        </xdr:cNvPr>
        <xdr:cNvSpPr txBox="1"/>
      </xdr:nvSpPr>
      <xdr:spPr>
        <a:xfrm>
          <a:off x="0" y="5283200"/>
          <a:ext cx="7463692" cy="2051538"/>
        </a:xfrm>
        <a:prstGeom prst="rect">
          <a:avLst/>
        </a:prstGeom>
        <a:solidFill>
          <a:srgbClr val="EBF1DE"/>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US" sz="1200" b="1" baseline="0"/>
            <a:t>Part 2: Return on Equity if the Enterprise Were All-Equity Financed</a:t>
          </a:r>
          <a:endParaRPr lang="en-US" sz="1200" b="0" baseline="0"/>
        </a:p>
        <a:p>
          <a:endParaRPr lang="en-US" sz="1200" b="0" baseline="0"/>
        </a:p>
        <a:p>
          <a:r>
            <a:rPr lang="en-US" sz="1200" b="0" baseline="0"/>
            <a:t>Next, let us analyze this enterprise if it were entirely financed by equity, i.e., there were no debt at all. Column (B) of Table 1 provides selected financial information for this scenario. More precisely, given that there were no debt, now the total current liabilities and the total liabilities were both zero. Since there were no change in operation, total  revenue, cost of goods and services sold, and earnings before interest and taxes remained the same as in Column (A). Compute the following information and put your answers in the corresponding cell of Column (B) in Table 1.</a:t>
          </a:r>
          <a:endParaRPr lang="en-US" sz="1200" b="1" baseline="0"/>
        </a:p>
      </xdr:txBody>
    </xdr:sp>
    <xdr:clientData/>
  </xdr:oneCellAnchor>
</xdr:wsDr>
</file>

<file path=xl/drawings/drawing9.xml><?xml version="1.0" encoding="utf-8"?>
<xdr:wsDr xmlns:xdr="http://schemas.openxmlformats.org/drawingml/2006/spreadsheetDrawing" xmlns:a="http://schemas.openxmlformats.org/drawingml/2006/main">
  <xdr:oneCellAnchor>
    <xdr:from>
      <xdr:col>0</xdr:col>
      <xdr:colOff>0</xdr:colOff>
      <xdr:row>0</xdr:row>
      <xdr:rowOff>0</xdr:rowOff>
    </xdr:from>
    <xdr:ext cx="6625167" cy="1640417"/>
    <xdr:sp macro="" textlink="">
      <xdr:nvSpPr>
        <xdr:cNvPr id="2" name="TextBox 1">
          <a:extLst>
            <a:ext uri="{FF2B5EF4-FFF2-40B4-BE49-F238E27FC236}">
              <a16:creationId xmlns:a16="http://schemas.microsoft.com/office/drawing/2014/main" id="{3101A67F-89F8-0746-B00B-C7C761AF6DA5}"/>
            </a:ext>
          </a:extLst>
        </xdr:cNvPr>
        <xdr:cNvSpPr txBox="1"/>
      </xdr:nvSpPr>
      <xdr:spPr>
        <a:xfrm>
          <a:off x="0" y="0"/>
          <a:ext cx="6625167" cy="1640417"/>
        </a:xfrm>
        <a:prstGeom prst="rect">
          <a:avLst/>
        </a:prstGeom>
        <a:solidFill>
          <a:srgbClr val="EBF1DE"/>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US" sz="1200" b="1" baseline="0"/>
            <a:t>Using Financial Statements to Analyze Two Companies</a:t>
          </a:r>
        </a:p>
        <a:p>
          <a:endParaRPr lang="en-US" sz="1200" b="0" baseline="0"/>
        </a:p>
        <a:p>
          <a:r>
            <a:rPr lang="en-US" sz="1200" b="0" baseline="0"/>
            <a:t>You are performing financial analysis of two companies based in the US. Both companies are operating in the same industry and provide similar products. Table 1 presents selected (but not all) items from the companies' quarterly financial statements for the last 5 quarters.</a:t>
          </a:r>
        </a:p>
        <a:p>
          <a:endParaRPr lang="en-US" sz="1200" b="0" baseline="0"/>
        </a:p>
        <a:p>
          <a:r>
            <a:rPr lang="en-US" sz="1200" b="1" baseline="0"/>
            <a:t>Part 1: Identifying the industry and business</a:t>
          </a:r>
        </a:p>
      </xdr:txBody>
    </xdr:sp>
    <xdr:clientData/>
  </xdr:oneCellAnchor>
  <xdr:oneCellAnchor>
    <xdr:from>
      <xdr:col>0</xdr:col>
      <xdr:colOff>0</xdr:colOff>
      <xdr:row>27</xdr:row>
      <xdr:rowOff>10582</xdr:rowOff>
    </xdr:from>
    <xdr:ext cx="6625167" cy="1195917"/>
    <xdr:sp macro="" textlink="">
      <xdr:nvSpPr>
        <xdr:cNvPr id="3" name="TextBox 2">
          <a:extLst>
            <a:ext uri="{FF2B5EF4-FFF2-40B4-BE49-F238E27FC236}">
              <a16:creationId xmlns:a16="http://schemas.microsoft.com/office/drawing/2014/main" id="{18B387CA-70F5-1541-B32B-06D2B27A75AE}"/>
            </a:ext>
          </a:extLst>
        </xdr:cNvPr>
        <xdr:cNvSpPr txBox="1"/>
      </xdr:nvSpPr>
      <xdr:spPr>
        <a:xfrm>
          <a:off x="0" y="5496982"/>
          <a:ext cx="6625167" cy="1195917"/>
        </a:xfrm>
        <a:prstGeom prst="rect">
          <a:avLst/>
        </a:prstGeom>
        <a:solidFill>
          <a:srgbClr val="EBF1DE"/>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US" sz="1200" b="1" baseline="0"/>
            <a:t>Part 3: Calculating Numbers Not Available in Table 2</a:t>
          </a:r>
          <a:endParaRPr lang="en-US" sz="1200" b="0" baseline="0"/>
        </a:p>
        <a:p>
          <a:endParaRPr lang="en-US" sz="1200" b="0" baseline="0"/>
        </a:p>
        <a:p>
          <a:r>
            <a:rPr lang="en-US" sz="1200" b="0" baseline="0"/>
            <a:t>Given that financial statements provided to you have only selected items while other items are not included. You need to compute the numbers for those unreported items. After computing, fill the respective cells in </a:t>
          </a:r>
          <a:r>
            <a:rPr lang="en-US" sz="1200" b="1" baseline="0"/>
            <a:t>Table 2</a:t>
          </a:r>
          <a:r>
            <a:rPr lang="en-US" sz="1200" b="0" baseline="0"/>
            <a:t>.</a:t>
          </a:r>
          <a:endParaRPr lang="en-US" sz="1200" b="1" baseline="0"/>
        </a:p>
      </xdr:txBody>
    </xdr:sp>
    <xdr:clientData/>
  </xdr:oneCellAnchor>
  <xdr:oneCellAnchor>
    <xdr:from>
      <xdr:col>0</xdr:col>
      <xdr:colOff>0</xdr:colOff>
      <xdr:row>15</xdr:row>
      <xdr:rowOff>0</xdr:rowOff>
    </xdr:from>
    <xdr:ext cx="6625167" cy="1217083"/>
    <xdr:sp macro="" textlink="">
      <xdr:nvSpPr>
        <xdr:cNvPr id="4" name="TextBox 3">
          <a:extLst>
            <a:ext uri="{FF2B5EF4-FFF2-40B4-BE49-F238E27FC236}">
              <a16:creationId xmlns:a16="http://schemas.microsoft.com/office/drawing/2014/main" id="{F9A17D37-ED4B-844B-843C-53D0BCA46E49}"/>
            </a:ext>
          </a:extLst>
        </xdr:cNvPr>
        <xdr:cNvSpPr txBox="1"/>
      </xdr:nvSpPr>
      <xdr:spPr>
        <a:xfrm>
          <a:off x="0" y="3048000"/>
          <a:ext cx="6625167" cy="1217083"/>
        </a:xfrm>
        <a:prstGeom prst="rect">
          <a:avLst/>
        </a:prstGeom>
        <a:solidFill>
          <a:srgbClr val="EBF1DE"/>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US" sz="1200" b="1" baseline="0"/>
            <a:t>Part 2: Constructing Annual Financial Statements</a:t>
          </a:r>
        </a:p>
        <a:p>
          <a:endParaRPr lang="en-US" sz="1200" b="0" baseline="0"/>
        </a:p>
        <a:p>
          <a:r>
            <a:rPr lang="en-US" sz="1200" b="0" baseline="0"/>
            <a:t>In your analysis, you are interested in the overall annual financial performance and situtation of the each company so you decide to use annual financial statements in your analysis instead of quarterly statements.</a:t>
          </a:r>
          <a:endParaRPr lang="en-US" sz="1200" b="1" baseline="0"/>
        </a:p>
      </xdr:txBody>
    </xdr:sp>
    <xdr:clientData/>
  </xdr:oneCellAnchor>
  <xdr:oneCellAnchor>
    <xdr:from>
      <xdr:col>0</xdr:col>
      <xdr:colOff>0</xdr:colOff>
      <xdr:row>39</xdr:row>
      <xdr:rowOff>0</xdr:rowOff>
    </xdr:from>
    <xdr:ext cx="6625167" cy="1206500"/>
    <xdr:sp macro="" textlink="">
      <xdr:nvSpPr>
        <xdr:cNvPr id="5" name="TextBox 4">
          <a:extLst>
            <a:ext uri="{FF2B5EF4-FFF2-40B4-BE49-F238E27FC236}">
              <a16:creationId xmlns:a16="http://schemas.microsoft.com/office/drawing/2014/main" id="{AE00F028-398A-4142-A434-9D841EDD9434}"/>
            </a:ext>
          </a:extLst>
        </xdr:cNvPr>
        <xdr:cNvSpPr txBox="1"/>
      </xdr:nvSpPr>
      <xdr:spPr>
        <a:xfrm>
          <a:off x="0" y="7924800"/>
          <a:ext cx="6625167" cy="1206500"/>
        </a:xfrm>
        <a:prstGeom prst="rect">
          <a:avLst/>
        </a:prstGeom>
        <a:solidFill>
          <a:srgbClr val="EBF1DE"/>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US" sz="1200" b="1" baseline="0"/>
            <a:t>Part 4: Financial Ratios</a:t>
          </a:r>
          <a:endParaRPr lang="en-US" sz="1200" b="0" baseline="0"/>
        </a:p>
        <a:p>
          <a:endParaRPr lang="en-US" sz="1200" b="0" baseline="0"/>
        </a:p>
        <a:p>
          <a:r>
            <a:rPr lang="en-US" sz="1200" b="0" baseline="0"/>
            <a:t>Now that you have necessary information, compute various ratios for the financial analysis for the year ending October 31, 2017. Note that </a:t>
          </a:r>
          <a:r>
            <a:rPr lang="en-US" sz="1200" b="1" baseline="0"/>
            <a:t>both companies do not have interest expense during this period</a:t>
          </a:r>
          <a:r>
            <a:rPr lang="en-US" sz="1200" b="0" baseline="0"/>
            <a:t>.</a:t>
          </a:r>
          <a:endParaRPr lang="en-US" sz="1200" b="1" baseline="0"/>
        </a:p>
      </xdr:txBody>
    </xdr:sp>
    <xdr:clientData/>
  </xdr:oneCellAnchor>
  <xdr:oneCellAnchor>
    <xdr:from>
      <xdr:col>0</xdr:col>
      <xdr:colOff>0</xdr:colOff>
      <xdr:row>56</xdr:row>
      <xdr:rowOff>0</xdr:rowOff>
    </xdr:from>
    <xdr:ext cx="6625167" cy="1206500"/>
    <xdr:sp macro="" textlink="">
      <xdr:nvSpPr>
        <xdr:cNvPr id="6" name="TextBox 5">
          <a:extLst>
            <a:ext uri="{FF2B5EF4-FFF2-40B4-BE49-F238E27FC236}">
              <a16:creationId xmlns:a16="http://schemas.microsoft.com/office/drawing/2014/main" id="{5586F66D-D8FD-6944-97AA-545389BFAC40}"/>
            </a:ext>
          </a:extLst>
        </xdr:cNvPr>
        <xdr:cNvSpPr txBox="1"/>
      </xdr:nvSpPr>
      <xdr:spPr>
        <a:xfrm>
          <a:off x="0" y="11379200"/>
          <a:ext cx="6625167" cy="1206500"/>
        </a:xfrm>
        <a:prstGeom prst="rect">
          <a:avLst/>
        </a:prstGeom>
        <a:solidFill>
          <a:srgbClr val="EBF1DE"/>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US" sz="1200" b="1" baseline="0"/>
            <a:t>Part 5: Common Size Financial Statements</a:t>
          </a:r>
          <a:endParaRPr lang="en-US" sz="1200" b="0" baseline="0"/>
        </a:p>
        <a:p>
          <a:endParaRPr lang="en-US" sz="1200" b="0" baseline="0"/>
        </a:p>
        <a:p>
          <a:r>
            <a:rPr lang="en-US" sz="1200" b="0" baseline="0"/>
            <a:t>Given that the two companies are very different in their size (either measured by total assets or revenue), you think that constructing the common size financial statement would be useful so that your comparison of the two companies is not obscured by the different sizes.</a:t>
          </a:r>
          <a:endParaRPr lang="en-US" sz="1200" b="1" baseline="0"/>
        </a:p>
      </xdr:txBody>
    </xdr:sp>
    <xdr:clientData/>
  </xdr:oneCellAnchor>
  <xdr:oneCellAnchor>
    <xdr:from>
      <xdr:col>0</xdr:col>
      <xdr:colOff>0</xdr:colOff>
      <xdr:row>66</xdr:row>
      <xdr:rowOff>0</xdr:rowOff>
    </xdr:from>
    <xdr:ext cx="6625167" cy="1608666"/>
    <xdr:sp macro="" textlink="">
      <xdr:nvSpPr>
        <xdr:cNvPr id="7" name="TextBox 6">
          <a:extLst>
            <a:ext uri="{FF2B5EF4-FFF2-40B4-BE49-F238E27FC236}">
              <a16:creationId xmlns:a16="http://schemas.microsoft.com/office/drawing/2014/main" id="{3146ADF2-9BBF-8146-97C2-7F1974C1A648}"/>
            </a:ext>
          </a:extLst>
        </xdr:cNvPr>
        <xdr:cNvSpPr txBox="1"/>
      </xdr:nvSpPr>
      <xdr:spPr>
        <a:xfrm>
          <a:off x="0" y="13411200"/>
          <a:ext cx="6625167" cy="1608666"/>
        </a:xfrm>
        <a:prstGeom prst="rect">
          <a:avLst/>
        </a:prstGeom>
        <a:solidFill>
          <a:srgbClr val="EBF1DE"/>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US" sz="1200" b="1" baseline="0"/>
            <a:t>Part 6: Identifying Companies</a:t>
          </a:r>
          <a:endParaRPr lang="en-US" sz="1200" b="0" baseline="0"/>
        </a:p>
        <a:p>
          <a:endParaRPr lang="en-US" sz="1200" b="0" baseline="0"/>
        </a:p>
        <a:p>
          <a:r>
            <a:rPr lang="en-US" sz="1200" b="0" baseline="0"/>
            <a:t>Although these two companies are operating in the same service industry, the methods of service delivery are very different. One company provides </a:t>
          </a:r>
          <a:r>
            <a:rPr lang="en-US" sz="1200" b="1" u="sng" baseline="0"/>
            <a:t>in-person</a:t>
          </a:r>
          <a:r>
            <a:rPr lang="en-US" sz="1200" b="1" baseline="0"/>
            <a:t> </a:t>
          </a:r>
          <a:r>
            <a:rPr lang="en-US" sz="1200" b="0" baseline="0"/>
            <a:t>service where the customers meet and receive the service from the company's representatives at one of its locations across the country. The other company provides </a:t>
          </a:r>
          <a:r>
            <a:rPr lang="en-US" sz="1200" b="1" u="sng" baseline="0"/>
            <a:t>online</a:t>
          </a:r>
          <a:r>
            <a:rPr lang="en-US" sz="1200" b="1" baseline="0"/>
            <a:t> </a:t>
          </a:r>
          <a:r>
            <a:rPr lang="en-US" sz="1200" b="0" baseline="0"/>
            <a:t>service where the customers purchase the company's software and use it by themselves at home.</a:t>
          </a:r>
          <a:endParaRPr lang="en-US" sz="1200" b="1" baseline="0"/>
        </a:p>
      </xdr:txBody>
    </xdr:sp>
    <xdr:clientData/>
  </xdr:oneCellAnchor>
</xdr:wsDr>
</file>

<file path=xl/drawings/drawing10.xml><?xml version="1.0" encoding="utf-8"?>
<xdr:wsDr xmlns:xdr="http://schemas.openxmlformats.org/drawingml/2006/spreadsheetDrawing" xmlns:a="http://schemas.openxmlformats.org/drawingml/2006/main">
  <xdr:oneCellAnchor>
    <xdr:from>
      <xdr:col>0</xdr:col>
      <xdr:colOff>0</xdr:colOff>
      <xdr:row>0</xdr:row>
      <xdr:rowOff>0</xdr:rowOff>
    </xdr:from>
    <xdr:ext cx="11234615" cy="2881922"/>
    <xdr:sp macro="" textlink="">
      <xdr:nvSpPr>
        <xdr:cNvPr id="2" name="TextBox 1">
          <a:extLst>
            <a:ext uri="{FF2B5EF4-FFF2-40B4-BE49-F238E27FC236}">
              <a16:creationId xmlns:a16="http://schemas.microsoft.com/office/drawing/2014/main" id="{19B814D7-03A4-4248-B826-000CCC25D76F}"/>
            </a:ext>
          </a:extLst>
        </xdr:cNvPr>
        <xdr:cNvSpPr txBox="1"/>
      </xdr:nvSpPr>
      <xdr:spPr>
        <a:xfrm>
          <a:off x="0" y="0"/>
          <a:ext cx="11234615" cy="2881922"/>
        </a:xfrm>
        <a:prstGeom prst="rect">
          <a:avLst/>
        </a:prstGeom>
        <a:solidFill>
          <a:srgbClr val="EBF1DE"/>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US" sz="1200" b="1" baseline="0"/>
            <a:t>Liquidity at Friendly Flower Farm</a:t>
          </a:r>
        </a:p>
        <a:p>
          <a:endParaRPr lang="en-US" sz="1200" b="0" baseline="0"/>
        </a:p>
        <a:p>
          <a:r>
            <a:rPr lang="en-US" sz="1200" b="0" baseline="0"/>
            <a:t>You are advising the Bank for Agriculture of a developing country in South America. The bank has an initiative to lend to farmers that are willing to adopt new technologies that will help them become more productive. Examples of these "AgriTech" include a smart phone with applications that allow farmers to check weather forecast, identify crop diseases, and access information on input and output prices.</a:t>
          </a:r>
        </a:p>
        <a:p>
          <a:endParaRPr lang="en-US" sz="1200" b="0" baseline="0"/>
        </a:p>
        <a:p>
          <a:r>
            <a:rPr lang="en-US" sz="1200" b="0" baseline="0"/>
            <a:t>One of the potential participants of this initiative is a flower farmer. You are helping him organize and analyze the financial situation and performance of his farm, Friendly Flower Farm.</a:t>
          </a:r>
        </a:p>
        <a:p>
          <a:endParaRPr lang="en-US" sz="1200" b="0" baseline="0"/>
        </a:p>
        <a:p>
          <a:r>
            <a:rPr lang="en-US" sz="1200" b="1" baseline="0"/>
            <a:t>Part 1: Recording Transaction</a:t>
          </a:r>
        </a:p>
        <a:p>
          <a:endParaRPr lang="en-US" sz="1200" b="0" baseline="0"/>
        </a:p>
        <a:p>
          <a:r>
            <a:rPr lang="en-US" sz="1200" b="0"/>
            <a:t>For each transaction, identify how it affects each of the accounting items in the balance sheet. Answer INCREASE if the transaction adds value to the item. Answer DECREASE if the transaction substracts value from the item.</a:t>
          </a:r>
        </a:p>
        <a:p>
          <a:endParaRPr lang="en-US" sz="1200" b="0" baseline="0"/>
        </a:p>
        <a:p>
          <a:endParaRPr lang="en-US" sz="1200" b="1" baseline="0"/>
        </a:p>
      </xdr:txBody>
    </xdr:sp>
    <xdr:clientData/>
  </xdr:oneCellAnchor>
  <xdr:oneCellAnchor>
    <xdr:from>
      <xdr:col>0</xdr:col>
      <xdr:colOff>0</xdr:colOff>
      <xdr:row>39</xdr:row>
      <xdr:rowOff>0</xdr:rowOff>
    </xdr:from>
    <xdr:ext cx="12934462" cy="830384"/>
    <xdr:sp macro="" textlink="">
      <xdr:nvSpPr>
        <xdr:cNvPr id="3" name="TextBox 2">
          <a:extLst>
            <a:ext uri="{FF2B5EF4-FFF2-40B4-BE49-F238E27FC236}">
              <a16:creationId xmlns:a16="http://schemas.microsoft.com/office/drawing/2014/main" id="{1E9C03BF-571C-8245-A6AE-33E71014DA65}"/>
            </a:ext>
          </a:extLst>
        </xdr:cNvPr>
        <xdr:cNvSpPr txBox="1"/>
      </xdr:nvSpPr>
      <xdr:spPr>
        <a:xfrm>
          <a:off x="0" y="15062200"/>
          <a:ext cx="12934462" cy="830384"/>
        </a:xfrm>
        <a:prstGeom prst="rect">
          <a:avLst/>
        </a:prstGeom>
        <a:solidFill>
          <a:srgbClr val="EBF1DE"/>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US" sz="1200" b="1" baseline="0"/>
            <a:t>Part 2: Constructing a Balance Sheet</a:t>
          </a:r>
          <a:endParaRPr lang="en-US" sz="1200" b="0" baseline="0"/>
        </a:p>
        <a:p>
          <a:endParaRPr lang="en-US" sz="1200" b="0" baseline="0"/>
        </a:p>
        <a:p>
          <a:r>
            <a:rPr lang="en-US" sz="1200" b="0" baseline="0"/>
            <a:t>At the end of January,  use the transaction recorded above to construct  the balance sheet for Flower Farm below.</a:t>
          </a:r>
          <a:endParaRPr lang="en-US" sz="1200" b="0"/>
        </a:p>
        <a:p>
          <a:endParaRPr lang="en-US" sz="1200" b="1" baseline="0"/>
        </a:p>
      </xdr:txBody>
    </xdr:sp>
    <xdr:clientData/>
  </xdr:oneCellAnchor>
</xdr:wsDr>
</file>

<file path=xl/drawings/drawing11.xml><?xml version="1.0" encoding="utf-8"?>
<xdr:wsDr xmlns:xdr="http://schemas.openxmlformats.org/drawingml/2006/spreadsheetDrawing" xmlns:a="http://schemas.openxmlformats.org/drawingml/2006/main">
  <xdr:oneCellAnchor>
    <xdr:from>
      <xdr:col>0</xdr:col>
      <xdr:colOff>0</xdr:colOff>
      <xdr:row>0</xdr:row>
      <xdr:rowOff>0</xdr:rowOff>
    </xdr:from>
    <xdr:ext cx="12403667" cy="1446550"/>
    <xdr:sp macro="" textlink="">
      <xdr:nvSpPr>
        <xdr:cNvPr id="2" name="TextBox 1">
          <a:extLst>
            <a:ext uri="{FF2B5EF4-FFF2-40B4-BE49-F238E27FC236}">
              <a16:creationId xmlns:a16="http://schemas.microsoft.com/office/drawing/2014/main" id="{9C789850-58EC-504D-8E41-95B923AAADB8}"/>
            </a:ext>
          </a:extLst>
        </xdr:cNvPr>
        <xdr:cNvSpPr txBox="1"/>
      </xdr:nvSpPr>
      <xdr:spPr>
        <a:xfrm>
          <a:off x="0" y="0"/>
          <a:ext cx="12403667" cy="1446550"/>
        </a:xfrm>
        <a:prstGeom prst="rect">
          <a:avLst/>
        </a:prstGeom>
        <a:solidFill>
          <a:schemeClr val="accent5">
            <a:lumMod val="20000"/>
            <a:lumOff val="80000"/>
          </a:schemeClr>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US" sz="1100" b="1" baseline="0"/>
            <a:t>"College/Storage"</a:t>
          </a:r>
        </a:p>
        <a:p>
          <a:endParaRPr lang="en-US" sz="1100" baseline="0"/>
        </a:p>
        <a:p>
          <a:r>
            <a:rPr lang="en-US" sz="1100" baseline="0"/>
            <a:t>Three graduate students at UCSD-- Joe, Jack, and Jim-- set up a business venture called "College/Storage". They have noticed that every year at the end of the school year in June, a lot of graduating students dispose their relatively new furniture and appliances for free or sell them at a very low price on Craigslist while several new coming students who arrive in August and September purchase new furniture from IKEA or Walmart at a full sticker price. Their business plan is buying or picking up disposed furniture around the graduation week, putting it in a rental storage over the summer, and reselling it at the beginning of the school year in August and September. As they are planning for this new season of graduation, they ask you to help them analyze how their business has performed so far. The transactions during the last summer are listed below.</a:t>
          </a:r>
        </a:p>
        <a:p>
          <a:endParaRPr lang="en-US" sz="1100" baseline="0"/>
        </a:p>
      </xdr:txBody>
    </xdr:sp>
    <xdr:clientData/>
  </xdr:oneCellAnchor>
  <xdr:oneCellAnchor>
    <xdr:from>
      <xdr:col>0</xdr:col>
      <xdr:colOff>0</xdr:colOff>
      <xdr:row>70</xdr:row>
      <xdr:rowOff>0</xdr:rowOff>
    </xdr:from>
    <xdr:ext cx="12403667" cy="780727"/>
    <xdr:sp macro="" textlink="">
      <xdr:nvSpPr>
        <xdr:cNvPr id="3" name="TextBox 2">
          <a:extLst>
            <a:ext uri="{FF2B5EF4-FFF2-40B4-BE49-F238E27FC236}">
              <a16:creationId xmlns:a16="http://schemas.microsoft.com/office/drawing/2014/main" id="{FEC649DD-FFDB-DA4B-991E-39367C5B1AF2}"/>
            </a:ext>
          </a:extLst>
        </xdr:cNvPr>
        <xdr:cNvSpPr txBox="1"/>
      </xdr:nvSpPr>
      <xdr:spPr>
        <a:xfrm>
          <a:off x="0" y="21907500"/>
          <a:ext cx="12403667" cy="780727"/>
        </a:xfrm>
        <a:prstGeom prst="rect">
          <a:avLst/>
        </a:prstGeom>
        <a:solidFill>
          <a:schemeClr val="accent5">
            <a:lumMod val="20000"/>
            <a:lumOff val="80000"/>
          </a:schemeClr>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US" sz="1100" b="1" baseline="0"/>
            <a:t>Part 3: Expansion and Fundraising</a:t>
          </a:r>
        </a:p>
        <a:p>
          <a:endParaRPr lang="en-US" sz="1100" baseline="0"/>
        </a:p>
        <a:p>
          <a:r>
            <a:rPr lang="en-US" sz="1100" baseline="0"/>
            <a:t>Joe, Jack, and Jim see a potential to expand the business later this year. However, they do not want to contribute any more money into this venture as they are lack of fund. However, their friends--Jill, Janet, and Julie are interested in joining this venture as new partners. </a:t>
          </a:r>
        </a:p>
      </xdr:txBody>
    </xdr:sp>
    <xdr:clientData/>
  </xdr:oneCellAnchor>
</xdr:wsDr>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A1836F-8054-E148-BEF9-66C523FC0B6E}">
  <sheetPr>
    <tabColor theme="7" tint="0.79998168889431442"/>
  </sheetPr>
  <dimension ref="A1:X57"/>
  <sheetViews>
    <sheetView tabSelected="1" topLeftCell="K12" zoomScaleNormal="130" workbookViewId="0">
      <selection activeCell="T26" sqref="T26"/>
    </sheetView>
  </sheetViews>
  <sheetFormatPr baseColWidth="10" defaultRowHeight="16" x14ac:dyDescent="0.2"/>
  <cols>
    <col min="16" max="16" width="39.33203125" customWidth="1"/>
    <col min="17" max="19" width="12.5" customWidth="1"/>
  </cols>
  <sheetData>
    <row r="1" spans="1:24" x14ac:dyDescent="0.2">
      <c r="P1" s="165" t="s">
        <v>186</v>
      </c>
      <c r="T1" t="s">
        <v>452</v>
      </c>
    </row>
    <row r="3" spans="1:24" x14ac:dyDescent="0.2">
      <c r="P3" s="166"/>
      <c r="Q3" s="232">
        <v>2021</v>
      </c>
      <c r="R3" s="232">
        <v>2020</v>
      </c>
      <c r="S3" s="232">
        <v>2019</v>
      </c>
    </row>
    <row r="4" spans="1:24" x14ac:dyDescent="0.2">
      <c r="P4" s="168" t="s">
        <v>187</v>
      </c>
      <c r="Q4" s="233" t="s">
        <v>320</v>
      </c>
      <c r="R4" s="233" t="s">
        <v>320</v>
      </c>
      <c r="S4" s="233" t="s">
        <v>320</v>
      </c>
    </row>
    <row r="5" spans="1:24" x14ac:dyDescent="0.2">
      <c r="P5" s="166" t="s">
        <v>192</v>
      </c>
      <c r="Q5" s="234">
        <v>17736</v>
      </c>
      <c r="R5" s="234">
        <v>274</v>
      </c>
      <c r="S5" s="234">
        <v>48</v>
      </c>
    </row>
    <row r="6" spans="1:24" x14ac:dyDescent="0.2">
      <c r="P6" s="166" t="s">
        <v>193</v>
      </c>
      <c r="Q6" s="234">
        <v>2671</v>
      </c>
      <c r="R6" s="234">
        <v>7</v>
      </c>
      <c r="S6" s="234">
        <v>0</v>
      </c>
    </row>
    <row r="7" spans="1:24" x14ac:dyDescent="0.2">
      <c r="P7" s="166" t="s">
        <v>194</v>
      </c>
      <c r="Q7" s="234">
        <v>567</v>
      </c>
      <c r="R7" s="234">
        <v>188</v>
      </c>
      <c r="S7" s="234">
        <v>109</v>
      </c>
    </row>
    <row r="8" spans="1:24" x14ac:dyDescent="0.2">
      <c r="P8" s="166" t="s">
        <v>440</v>
      </c>
      <c r="Q8" s="234">
        <v>1991</v>
      </c>
      <c r="R8" s="234">
        <v>1370</v>
      </c>
      <c r="S8" s="234">
        <v>496</v>
      </c>
    </row>
    <row r="9" spans="1:24" x14ac:dyDescent="0.2">
      <c r="P9" s="166" t="s">
        <v>56</v>
      </c>
      <c r="Q9" s="234">
        <v>13296</v>
      </c>
      <c r="R9" s="234">
        <v>-763</v>
      </c>
      <c r="S9" s="234">
        <v>-545</v>
      </c>
    </row>
    <row r="10" spans="1:24" x14ac:dyDescent="0.2">
      <c r="P10" s="166" t="s">
        <v>321</v>
      </c>
      <c r="Q10" s="234">
        <v>7</v>
      </c>
      <c r="R10" s="234">
        <v>29</v>
      </c>
      <c r="S10" s="234">
        <v>38</v>
      </c>
    </row>
    <row r="11" spans="1:24" x14ac:dyDescent="0.2">
      <c r="P11" s="166" t="s">
        <v>45</v>
      </c>
      <c r="Q11" s="234">
        <v>18</v>
      </c>
      <c r="R11" s="234">
        <v>10</v>
      </c>
      <c r="S11" s="234">
        <v>7</v>
      </c>
    </row>
    <row r="12" spans="1:24" x14ac:dyDescent="0.2">
      <c r="P12" s="166" t="s">
        <v>195</v>
      </c>
      <c r="Q12" s="234">
        <v>13285</v>
      </c>
      <c r="R12" s="234">
        <v>-744</v>
      </c>
      <c r="S12" s="234">
        <v>-514</v>
      </c>
      <c r="V12" s="106"/>
      <c r="W12" s="106"/>
      <c r="X12" s="106"/>
    </row>
    <row r="13" spans="1:24" x14ac:dyDescent="0.2">
      <c r="P13" s="166" t="s">
        <v>196</v>
      </c>
      <c r="Q13" s="234">
        <v>1083</v>
      </c>
      <c r="R13" s="234">
        <v>0</v>
      </c>
      <c r="S13" s="234">
        <v>0</v>
      </c>
    </row>
    <row r="14" spans="1:24" x14ac:dyDescent="0.2">
      <c r="P14" s="171"/>
      <c r="Q14" s="172"/>
      <c r="R14" s="172"/>
      <c r="S14" s="172"/>
    </row>
    <row r="15" spans="1:24" x14ac:dyDescent="0.2">
      <c r="P15" s="168" t="s">
        <v>59</v>
      </c>
      <c r="Q15" s="233" t="s">
        <v>320</v>
      </c>
      <c r="R15" s="233" t="s">
        <v>320</v>
      </c>
      <c r="S15" s="233" t="s">
        <v>320</v>
      </c>
    </row>
    <row r="16" spans="1:24" x14ac:dyDescent="0.2">
      <c r="A16" s="11">
        <v>1</v>
      </c>
      <c r="B16" t="s">
        <v>322</v>
      </c>
      <c r="P16" s="166" t="s">
        <v>60</v>
      </c>
      <c r="Q16" s="234">
        <v>10727</v>
      </c>
      <c r="R16" s="234">
        <v>4607</v>
      </c>
      <c r="S16" s="234">
        <v>1103</v>
      </c>
    </row>
    <row r="17" spans="1:20" x14ac:dyDescent="0.2">
      <c r="A17" s="15">
        <v>2</v>
      </c>
      <c r="B17" t="s">
        <v>323</v>
      </c>
      <c r="P17" s="166" t="s">
        <v>202</v>
      </c>
      <c r="Q17" s="234">
        <v>3296</v>
      </c>
      <c r="R17" s="234">
        <v>1410</v>
      </c>
      <c r="S17" s="234">
        <v>16</v>
      </c>
    </row>
    <row r="18" spans="1:20" x14ac:dyDescent="0.2">
      <c r="A18" s="16">
        <v>3</v>
      </c>
      <c r="B18" t="s">
        <v>204</v>
      </c>
      <c r="P18" s="166" t="s">
        <v>62</v>
      </c>
      <c r="Q18" s="234">
        <v>1441</v>
      </c>
      <c r="R18" s="234">
        <v>46</v>
      </c>
      <c r="S18" s="234">
        <v>0</v>
      </c>
    </row>
    <row r="19" spans="1:20" x14ac:dyDescent="0.2">
      <c r="A19" s="174">
        <v>4</v>
      </c>
      <c r="B19" t="s">
        <v>205</v>
      </c>
      <c r="P19" s="166" t="s">
        <v>324</v>
      </c>
      <c r="Q19" s="234">
        <v>1735</v>
      </c>
      <c r="R19" s="234">
        <v>506</v>
      </c>
      <c r="S19" s="234">
        <v>382</v>
      </c>
    </row>
    <row r="20" spans="1:20" x14ac:dyDescent="0.2">
      <c r="A20" s="18">
        <v>5</v>
      </c>
      <c r="B20" t="s">
        <v>325</v>
      </c>
      <c r="P20" s="166" t="s">
        <v>326</v>
      </c>
      <c r="Q20" s="234">
        <v>1383</v>
      </c>
      <c r="R20" s="234">
        <v>387</v>
      </c>
      <c r="S20" s="234">
        <v>287</v>
      </c>
    </row>
    <row r="21" spans="1:20" x14ac:dyDescent="0.2">
      <c r="A21" s="19">
        <v>6</v>
      </c>
      <c r="B21" t="s">
        <v>327</v>
      </c>
      <c r="P21" s="166" t="s">
        <v>41</v>
      </c>
      <c r="Q21" s="234">
        <v>24669</v>
      </c>
      <c r="R21" s="234">
        <v>7336</v>
      </c>
      <c r="S21" s="234">
        <v>1589</v>
      </c>
    </row>
    <row r="22" spans="1:20" x14ac:dyDescent="0.2">
      <c r="A22" s="20">
        <v>7</v>
      </c>
      <c r="B22" t="s">
        <v>328</v>
      </c>
      <c r="P22" s="166" t="s">
        <v>329</v>
      </c>
      <c r="Q22" s="234">
        <v>2524</v>
      </c>
      <c r="R22" s="234">
        <v>392</v>
      </c>
      <c r="S22" s="234">
        <v>47</v>
      </c>
    </row>
    <row r="23" spans="1:20" x14ac:dyDescent="0.2">
      <c r="A23" s="21">
        <v>8</v>
      </c>
      <c r="B23" t="s">
        <v>330</v>
      </c>
      <c r="P23" s="166" t="s">
        <v>331</v>
      </c>
      <c r="Q23" s="234">
        <v>1396</v>
      </c>
      <c r="R23" s="234">
        <v>386</v>
      </c>
      <c r="S23" s="234">
        <v>271</v>
      </c>
    </row>
    <row r="24" spans="1:20" x14ac:dyDescent="0.2">
      <c r="P24" s="166" t="s">
        <v>44</v>
      </c>
      <c r="Q24" s="235">
        <v>10524</v>
      </c>
      <c r="R24" s="235">
        <v>4775</v>
      </c>
      <c r="S24" s="235">
        <v>414</v>
      </c>
    </row>
    <row r="25" spans="1:20" x14ac:dyDescent="0.2">
      <c r="P25" s="166"/>
      <c r="Q25" s="235"/>
      <c r="R25" s="235"/>
      <c r="S25" s="235"/>
    </row>
    <row r="26" spans="1:20" x14ac:dyDescent="0.2">
      <c r="O26" s="11">
        <v>1</v>
      </c>
      <c r="P26" s="166" t="s">
        <v>208</v>
      </c>
      <c r="Q26" s="236">
        <f>Q19-Q20</f>
        <v>352</v>
      </c>
      <c r="R26" s="236">
        <f>R19-R20</f>
        <v>119</v>
      </c>
      <c r="S26" s="236">
        <f>S19-S20</f>
        <v>95</v>
      </c>
      <c r="T26" t="s">
        <v>453</v>
      </c>
    </row>
    <row r="27" spans="1:20" x14ac:dyDescent="0.2">
      <c r="O27" s="15">
        <v>2</v>
      </c>
      <c r="P27" s="166" t="s">
        <v>332</v>
      </c>
      <c r="Q27" s="237">
        <f>Q26</f>
        <v>352</v>
      </c>
      <c r="R27" s="237">
        <f t="shared" ref="R27:S27" si="0">R26</f>
        <v>119</v>
      </c>
      <c r="S27" s="237">
        <f t="shared" si="0"/>
        <v>95</v>
      </c>
      <c r="T27" t="s">
        <v>454</v>
      </c>
    </row>
    <row r="28" spans="1:20" x14ac:dyDescent="0.2">
      <c r="O28" s="16">
        <v>3</v>
      </c>
      <c r="P28" s="166" t="s">
        <v>451</v>
      </c>
      <c r="Q28" s="238">
        <f>Q21-Q24</f>
        <v>14145</v>
      </c>
      <c r="R28" s="238">
        <f t="shared" ref="R28:S28" si="1">R21-R24</f>
        <v>2561</v>
      </c>
      <c r="S28" s="238">
        <f t="shared" si="1"/>
        <v>1175</v>
      </c>
      <c r="T28" t="s">
        <v>455</v>
      </c>
    </row>
    <row r="29" spans="1:20" x14ac:dyDescent="0.2">
      <c r="O29" s="174">
        <v>4</v>
      </c>
      <c r="P29" s="166" t="s">
        <v>48</v>
      </c>
      <c r="Q29" s="239">
        <f>Q12-Q13</f>
        <v>12202</v>
      </c>
      <c r="R29" s="239">
        <f t="shared" ref="R29:S29" si="2">R12-R13</f>
        <v>-744</v>
      </c>
      <c r="S29" s="239">
        <f t="shared" si="2"/>
        <v>-514</v>
      </c>
      <c r="T29" t="s">
        <v>456</v>
      </c>
    </row>
    <row r="30" spans="1:20" x14ac:dyDescent="0.2">
      <c r="A30" s="22">
        <v>9</v>
      </c>
      <c r="B30" t="s">
        <v>214</v>
      </c>
      <c r="C30" t="s">
        <v>457</v>
      </c>
      <c r="O30" s="18">
        <v>5</v>
      </c>
      <c r="P30" s="166" t="s">
        <v>333</v>
      </c>
      <c r="Q30" s="240">
        <f>(Q5-R5)/R5</f>
        <v>63.729927007299267</v>
      </c>
      <c r="R30" s="240">
        <f>(R5-S5)/S5</f>
        <v>4.708333333333333</v>
      </c>
      <c r="S30" s="241">
        <v>0</v>
      </c>
      <c r="T30" t="s">
        <v>458</v>
      </c>
    </row>
    <row r="31" spans="1:20" x14ac:dyDescent="0.2">
      <c r="A31" s="25">
        <v>10</v>
      </c>
      <c r="B31" t="s">
        <v>216</v>
      </c>
      <c r="C31" t="s">
        <v>459</v>
      </c>
      <c r="O31" s="19">
        <v>6</v>
      </c>
      <c r="P31" s="166" t="s">
        <v>334</v>
      </c>
      <c r="Q31" s="243">
        <f>(Q29-R29)/ABS(R29)</f>
        <v>17.400537634408604</v>
      </c>
      <c r="R31" s="243">
        <f>(R29-S29)/ABS(S29)</f>
        <v>-0.44747081712062259</v>
      </c>
      <c r="S31" s="242">
        <v>0</v>
      </c>
      <c r="T31" t="s">
        <v>460</v>
      </c>
    </row>
    <row r="32" spans="1:20" x14ac:dyDescent="0.2">
      <c r="A32" s="31">
        <v>11</v>
      </c>
      <c r="B32" t="s">
        <v>217</v>
      </c>
      <c r="C32" t="s">
        <v>461</v>
      </c>
      <c r="O32" s="22">
        <v>9</v>
      </c>
      <c r="P32" s="166" t="s">
        <v>335</v>
      </c>
      <c r="Q32" s="184">
        <f>Q29/Q28</f>
        <v>0.86263697419582896</v>
      </c>
      <c r="R32" s="184">
        <f>R29/R28</f>
        <v>-0.29051151893791488</v>
      </c>
      <c r="S32" s="184">
        <f>S29/S28</f>
        <v>-0.43744680851063827</v>
      </c>
      <c r="T32" t="s">
        <v>462</v>
      </c>
    </row>
    <row r="33" spans="1:20" x14ac:dyDescent="0.2">
      <c r="A33" s="180">
        <v>12</v>
      </c>
      <c r="B33" t="s">
        <v>219</v>
      </c>
      <c r="C33" t="s">
        <v>463</v>
      </c>
      <c r="O33" s="25">
        <v>10</v>
      </c>
      <c r="P33" s="166" t="s">
        <v>225</v>
      </c>
      <c r="Q33" s="185">
        <f>Q13/Q12</f>
        <v>8.1520511855476097E-2</v>
      </c>
      <c r="R33" s="185">
        <f>R13/R12</f>
        <v>0</v>
      </c>
      <c r="S33" s="185">
        <f>S13/S12</f>
        <v>0</v>
      </c>
      <c r="T33" t="s">
        <v>464</v>
      </c>
    </row>
    <row r="34" spans="1:20" x14ac:dyDescent="0.2">
      <c r="A34" s="183">
        <v>13</v>
      </c>
      <c r="B34" t="s">
        <v>221</v>
      </c>
      <c r="C34" t="s">
        <v>465</v>
      </c>
      <c r="O34" s="31">
        <v>11</v>
      </c>
      <c r="P34" s="166" t="s">
        <v>227</v>
      </c>
      <c r="Q34" s="186">
        <f>1-Q33</f>
        <v>0.91847948814452396</v>
      </c>
      <c r="R34" s="186">
        <f>1-R33</f>
        <v>1</v>
      </c>
      <c r="S34" s="186">
        <f>1-S33</f>
        <v>1</v>
      </c>
      <c r="T34" t="s">
        <v>466</v>
      </c>
    </row>
    <row r="35" spans="1:20" x14ac:dyDescent="0.2">
      <c r="A35" s="151">
        <v>14</v>
      </c>
      <c r="B35" t="s">
        <v>336</v>
      </c>
      <c r="C35" t="s">
        <v>467</v>
      </c>
      <c r="O35" s="180">
        <v>12</v>
      </c>
      <c r="P35" s="166" t="s">
        <v>229</v>
      </c>
      <c r="Q35" s="187">
        <f>Q12/Q5</f>
        <v>0.74904149751917004</v>
      </c>
      <c r="R35" s="187">
        <f>R12/R5</f>
        <v>-2.7153284671532845</v>
      </c>
      <c r="S35" s="187">
        <f>S12/S5</f>
        <v>-10.708333333333334</v>
      </c>
      <c r="T35" t="s">
        <v>468</v>
      </c>
    </row>
    <row r="36" spans="1:20" x14ac:dyDescent="0.2">
      <c r="A36" s="151"/>
      <c r="B36" t="s">
        <v>224</v>
      </c>
      <c r="C36" t="s">
        <v>469</v>
      </c>
      <c r="O36" s="183">
        <v>13</v>
      </c>
      <c r="P36" s="166" t="s">
        <v>231</v>
      </c>
      <c r="Q36" s="244">
        <f>Q5/Q21</f>
        <v>0.71895901739024692</v>
      </c>
      <c r="R36" s="244">
        <f>R5/R21</f>
        <v>3.7350054525627042E-2</v>
      </c>
      <c r="S36" s="244">
        <f>S5/S21</f>
        <v>3.0207677784770296E-2</v>
      </c>
      <c r="T36" t="s">
        <v>470</v>
      </c>
    </row>
    <row r="37" spans="1:20" x14ac:dyDescent="0.2">
      <c r="A37" s="16">
        <v>15</v>
      </c>
      <c r="B37" t="s">
        <v>226</v>
      </c>
      <c r="C37" t="s">
        <v>471</v>
      </c>
      <c r="O37" s="151">
        <v>14</v>
      </c>
      <c r="P37" s="166" t="s">
        <v>232</v>
      </c>
      <c r="Q37" s="245">
        <f>Q21/Q28</f>
        <v>1.7440084835630965</v>
      </c>
      <c r="R37" s="245">
        <f>R21/R28</f>
        <v>2.864506052323311</v>
      </c>
      <c r="S37" s="245">
        <f>S21/S28</f>
        <v>1.3523404255319149</v>
      </c>
      <c r="T37" t="s">
        <v>472</v>
      </c>
    </row>
    <row r="38" spans="1:20" x14ac:dyDescent="0.2">
      <c r="A38" s="16"/>
      <c r="B38" t="s">
        <v>228</v>
      </c>
      <c r="C38" t="s">
        <v>473</v>
      </c>
      <c r="O38" s="16">
        <v>15</v>
      </c>
      <c r="P38" s="166" t="s">
        <v>234</v>
      </c>
      <c r="Q38" s="246">
        <f>Q34*Q35*Q36*Q37</f>
        <v>0.86263697419582908</v>
      </c>
      <c r="R38" s="246">
        <f>R34*R35*R36*R37</f>
        <v>-0.29051151893791483</v>
      </c>
      <c r="S38" s="246">
        <f>S34*S35*S36*S37</f>
        <v>-0.43744680851063833</v>
      </c>
      <c r="T38" t="s">
        <v>474</v>
      </c>
    </row>
    <row r="39" spans="1:20" x14ac:dyDescent="0.2">
      <c r="A39" s="47">
        <v>16</v>
      </c>
      <c r="B39" t="s">
        <v>337</v>
      </c>
      <c r="K39" s="1" t="s">
        <v>475</v>
      </c>
    </row>
    <row r="40" spans="1:20" x14ac:dyDescent="0.2">
      <c r="A40" s="47"/>
      <c r="B40" t="s">
        <v>338</v>
      </c>
      <c r="K40" s="1" t="s">
        <v>480</v>
      </c>
    </row>
    <row r="41" spans="1:20" x14ac:dyDescent="0.2">
      <c r="A41" s="153">
        <v>17</v>
      </c>
      <c r="B41" t="s">
        <v>339</v>
      </c>
      <c r="L41" s="1" t="s">
        <v>481</v>
      </c>
    </row>
    <row r="42" spans="1:20" x14ac:dyDescent="0.2">
      <c r="A42" s="155">
        <v>18</v>
      </c>
      <c r="B42" t="s">
        <v>340</v>
      </c>
      <c r="K42" s="1" t="s">
        <v>476</v>
      </c>
    </row>
    <row r="43" spans="1:20" x14ac:dyDescent="0.2">
      <c r="A43" s="66">
        <v>19</v>
      </c>
      <c r="B43" t="s">
        <v>341</v>
      </c>
      <c r="K43" s="1" t="s">
        <v>477</v>
      </c>
    </row>
    <row r="45" spans="1:20" x14ac:dyDescent="0.2">
      <c r="O45" s="3"/>
      <c r="P45" s="280"/>
    </row>
    <row r="46" spans="1:20" x14ac:dyDescent="0.2">
      <c r="O46" s="3"/>
      <c r="P46" s="280"/>
    </row>
    <row r="49" spans="1:16" x14ac:dyDescent="0.2">
      <c r="P49" s="280"/>
    </row>
    <row r="50" spans="1:16" x14ac:dyDescent="0.2">
      <c r="A50" s="52">
        <v>20</v>
      </c>
      <c r="B50" t="s">
        <v>342</v>
      </c>
      <c r="G50" t="s">
        <v>478</v>
      </c>
      <c r="P50" s="280"/>
    </row>
    <row r="51" spans="1:16" x14ac:dyDescent="0.2">
      <c r="A51" s="11">
        <v>21</v>
      </c>
      <c r="B51" t="s">
        <v>343</v>
      </c>
      <c r="P51" s="280"/>
    </row>
    <row r="52" spans="1:16" x14ac:dyDescent="0.2">
      <c r="A52" s="11"/>
      <c r="B52" t="s">
        <v>197</v>
      </c>
      <c r="P52" s="280"/>
    </row>
    <row r="53" spans="1:16" x14ac:dyDescent="0.2">
      <c r="A53" s="11"/>
      <c r="B53" t="s">
        <v>344</v>
      </c>
      <c r="C53" s="48"/>
      <c r="F53" t="s">
        <v>345</v>
      </c>
    </row>
    <row r="54" spans="1:16" x14ac:dyDescent="0.2">
      <c r="A54" s="11"/>
      <c r="B54" t="s">
        <v>346</v>
      </c>
      <c r="F54" t="s">
        <v>347</v>
      </c>
    </row>
    <row r="56" spans="1:16" x14ac:dyDescent="0.2">
      <c r="B56" t="s">
        <v>479</v>
      </c>
      <c r="O56" s="189"/>
    </row>
    <row r="57" spans="1:16" x14ac:dyDescent="0.2">
      <c r="B57" t="s">
        <v>482</v>
      </c>
    </row>
  </sheetData>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BD03C4-6B16-1647-B73E-DFB90F6C6547}">
  <sheetPr>
    <tabColor theme="7" tint="0.79998168889431442"/>
  </sheetPr>
  <dimension ref="A12:L53"/>
  <sheetViews>
    <sheetView zoomScale="110" zoomScaleNormal="110" workbookViewId="0">
      <selection activeCell="D22" sqref="D22"/>
    </sheetView>
  </sheetViews>
  <sheetFormatPr baseColWidth="10" defaultRowHeight="16" x14ac:dyDescent="0.2"/>
  <cols>
    <col min="3" max="3" width="52.5" customWidth="1"/>
    <col min="4" max="4" width="17" style="40" customWidth="1"/>
    <col min="5" max="6" width="17" customWidth="1"/>
    <col min="7" max="7" width="17" style="40" customWidth="1"/>
    <col min="8" max="9" width="17" customWidth="1"/>
    <col min="10" max="10" width="17" style="40" customWidth="1"/>
    <col min="11" max="12" width="17" customWidth="1"/>
  </cols>
  <sheetData>
    <row r="12" spans="1:12" x14ac:dyDescent="0.2">
      <c r="A12" s="293"/>
      <c r="B12" s="294" t="s">
        <v>348</v>
      </c>
      <c r="C12" s="295" t="s">
        <v>349</v>
      </c>
      <c r="D12" s="296" t="s">
        <v>0</v>
      </c>
      <c r="E12" s="296"/>
      <c r="F12" s="296"/>
      <c r="G12" s="297" t="s">
        <v>1</v>
      </c>
      <c r="H12" s="297"/>
      <c r="I12" s="297"/>
      <c r="J12" s="298" t="s">
        <v>2</v>
      </c>
      <c r="K12" s="298"/>
      <c r="L12" s="298"/>
    </row>
    <row r="13" spans="1:12" ht="17" customHeight="1" x14ac:dyDescent="0.2">
      <c r="A13" s="293"/>
      <c r="B13" s="294"/>
      <c r="C13" s="295"/>
      <c r="D13" s="247" t="s">
        <v>3</v>
      </c>
      <c r="E13" s="5" t="s">
        <v>4</v>
      </c>
      <c r="F13" s="6" t="s">
        <v>5</v>
      </c>
      <c r="G13" s="248" t="s">
        <v>3</v>
      </c>
      <c r="H13" s="7" t="s">
        <v>4</v>
      </c>
      <c r="I13" s="8" t="s">
        <v>5</v>
      </c>
      <c r="J13" s="249" t="s">
        <v>3</v>
      </c>
      <c r="K13" s="9" t="s">
        <v>4</v>
      </c>
      <c r="L13" s="10" t="s">
        <v>5</v>
      </c>
    </row>
    <row r="14" spans="1:12" x14ac:dyDescent="0.2">
      <c r="A14" s="15">
        <v>1</v>
      </c>
      <c r="B14" s="290">
        <v>45306</v>
      </c>
      <c r="C14" s="299" t="s">
        <v>350</v>
      </c>
      <c r="D14" s="250"/>
      <c r="E14" s="13"/>
      <c r="F14" s="251"/>
      <c r="G14" s="250"/>
      <c r="H14" s="13"/>
      <c r="I14" s="251"/>
      <c r="J14" s="250"/>
      <c r="K14" s="13"/>
      <c r="L14" s="14"/>
    </row>
    <row r="15" spans="1:12" x14ac:dyDescent="0.2">
      <c r="A15" s="15"/>
      <c r="B15" s="290"/>
      <c r="C15" s="299"/>
      <c r="D15" s="250"/>
      <c r="E15" s="13"/>
      <c r="F15" s="251"/>
      <c r="G15" s="250"/>
      <c r="H15" s="13"/>
      <c r="I15" s="251"/>
      <c r="J15" s="250"/>
      <c r="K15" s="13"/>
      <c r="L15" s="13"/>
    </row>
    <row r="16" spans="1:12" ht="34" customHeight="1" x14ac:dyDescent="0.2">
      <c r="A16" s="16">
        <v>2</v>
      </c>
      <c r="B16" s="290">
        <v>45308</v>
      </c>
      <c r="C16" s="292" t="s">
        <v>351</v>
      </c>
      <c r="D16" s="250"/>
      <c r="F16" s="42"/>
      <c r="G16" s="250"/>
      <c r="H16" s="13"/>
      <c r="I16" s="251"/>
      <c r="J16" s="250"/>
      <c r="K16" s="13"/>
      <c r="L16" s="14"/>
    </row>
    <row r="17" spans="1:12" ht="34" customHeight="1" x14ac:dyDescent="0.2">
      <c r="A17" s="16"/>
      <c r="B17" s="290"/>
      <c r="C17" s="292"/>
      <c r="D17" s="250"/>
      <c r="E17" s="13"/>
      <c r="F17" s="251"/>
      <c r="G17" s="250"/>
      <c r="H17" s="13"/>
      <c r="I17" s="251"/>
      <c r="J17" s="250"/>
      <c r="K17" s="13"/>
      <c r="L17" s="14"/>
    </row>
    <row r="18" spans="1:12" x14ac:dyDescent="0.2">
      <c r="A18" s="17">
        <v>3</v>
      </c>
      <c r="B18" s="290">
        <v>45322</v>
      </c>
      <c r="C18" s="292" t="s">
        <v>352</v>
      </c>
      <c r="D18" s="250"/>
      <c r="E18" s="13"/>
      <c r="F18" s="251"/>
      <c r="G18" s="250"/>
      <c r="H18" s="13"/>
      <c r="I18" s="251"/>
      <c r="J18" s="250"/>
      <c r="K18" s="13"/>
      <c r="L18" s="14"/>
    </row>
    <row r="19" spans="1:12" x14ac:dyDescent="0.2">
      <c r="A19" s="17"/>
      <c r="B19" s="291"/>
      <c r="C19" s="292"/>
      <c r="D19" s="250"/>
      <c r="E19" s="13"/>
      <c r="F19" s="14"/>
      <c r="G19" s="250"/>
      <c r="H19" s="13"/>
      <c r="I19" s="14"/>
      <c r="J19" s="250"/>
      <c r="K19" s="13"/>
      <c r="L19" s="14"/>
    </row>
    <row r="20" spans="1:12" x14ac:dyDescent="0.2">
      <c r="D20" s="250"/>
      <c r="E20" s="13"/>
      <c r="F20" s="14"/>
      <c r="G20" s="250"/>
      <c r="H20" s="13"/>
      <c r="I20" s="14"/>
      <c r="J20" s="250"/>
      <c r="K20" s="13"/>
      <c r="L20" s="14"/>
    </row>
    <row r="21" spans="1:12" x14ac:dyDescent="0.2">
      <c r="D21" s="250"/>
      <c r="E21" s="13"/>
      <c r="F21" s="14"/>
      <c r="G21" s="250"/>
      <c r="H21" s="13"/>
      <c r="I21" s="14"/>
      <c r="J21" s="250"/>
      <c r="K21" s="13"/>
      <c r="L21" s="14"/>
    </row>
    <row r="22" spans="1:12" x14ac:dyDescent="0.2">
      <c r="D22" s="250"/>
      <c r="E22" s="13"/>
      <c r="F22" s="14"/>
      <c r="G22" s="250"/>
      <c r="H22" s="13"/>
      <c r="I22" s="14"/>
      <c r="J22" s="250"/>
      <c r="K22" s="13"/>
      <c r="L22" s="14"/>
    </row>
    <row r="23" spans="1:12" x14ac:dyDescent="0.2">
      <c r="D23" s="250"/>
      <c r="E23" s="13"/>
      <c r="F23" s="14"/>
      <c r="G23" s="250"/>
      <c r="H23" s="13"/>
      <c r="I23" s="14"/>
      <c r="J23" s="250"/>
      <c r="K23" s="13"/>
      <c r="L23" s="14"/>
    </row>
    <row r="24" spans="1:12" x14ac:dyDescent="0.2">
      <c r="D24" s="250"/>
      <c r="E24" s="13"/>
      <c r="F24" s="14"/>
      <c r="G24" s="250"/>
      <c r="H24" s="13"/>
      <c r="I24" s="14"/>
      <c r="J24" s="250"/>
      <c r="K24" s="13"/>
      <c r="L24" s="14"/>
    </row>
    <row r="25" spans="1:12" x14ac:dyDescent="0.2">
      <c r="D25" s="250"/>
      <c r="E25" s="13"/>
      <c r="F25" s="14"/>
      <c r="G25" s="250"/>
      <c r="H25" s="13"/>
      <c r="I25" s="14"/>
      <c r="J25" s="250"/>
      <c r="K25" s="13"/>
      <c r="L25" s="14"/>
    </row>
    <row r="26" spans="1:12" x14ac:dyDescent="0.2">
      <c r="D26" s="250"/>
      <c r="E26" s="13"/>
      <c r="F26" s="14"/>
      <c r="G26" s="250"/>
      <c r="H26" s="13"/>
      <c r="I26" s="14"/>
      <c r="J26" s="250"/>
      <c r="K26" s="13"/>
      <c r="L26" s="14"/>
    </row>
    <row r="27" spans="1:12" x14ac:dyDescent="0.2">
      <c r="D27" s="250"/>
      <c r="E27" s="13"/>
      <c r="F27" s="14"/>
      <c r="G27" s="250"/>
      <c r="H27" s="13"/>
      <c r="I27" s="14"/>
      <c r="J27" s="250"/>
      <c r="K27" s="13"/>
      <c r="L27" s="14"/>
    </row>
    <row r="28" spans="1:12" x14ac:dyDescent="0.2">
      <c r="A28" s="293"/>
      <c r="B28" s="294" t="s">
        <v>348</v>
      </c>
      <c r="C28" s="295" t="s">
        <v>349</v>
      </c>
      <c r="D28" s="296" t="s">
        <v>0</v>
      </c>
      <c r="E28" s="296"/>
      <c r="F28" s="296"/>
      <c r="G28" s="297" t="s">
        <v>1</v>
      </c>
      <c r="H28" s="297"/>
      <c r="I28" s="297"/>
      <c r="J28" s="298" t="s">
        <v>2</v>
      </c>
      <c r="K28" s="298"/>
      <c r="L28" s="298"/>
    </row>
    <row r="29" spans="1:12" ht="17" customHeight="1" x14ac:dyDescent="0.2">
      <c r="A29" s="293"/>
      <c r="B29" s="294"/>
      <c r="C29" s="295"/>
      <c r="D29" s="247" t="s">
        <v>3</v>
      </c>
      <c r="E29" s="5" t="s">
        <v>4</v>
      </c>
      <c r="F29" s="6" t="s">
        <v>5</v>
      </c>
      <c r="G29" s="248" t="s">
        <v>3</v>
      </c>
      <c r="H29" s="7" t="s">
        <v>4</v>
      </c>
      <c r="I29" s="8" t="s">
        <v>5</v>
      </c>
      <c r="J29" s="249" t="s">
        <v>3</v>
      </c>
      <c r="K29" s="9" t="s">
        <v>4</v>
      </c>
      <c r="L29" s="10" t="s">
        <v>5</v>
      </c>
    </row>
    <row r="30" spans="1:12" x14ac:dyDescent="0.2">
      <c r="A30" s="18">
        <v>4</v>
      </c>
      <c r="B30" s="290">
        <v>45327</v>
      </c>
      <c r="C30" s="292" t="s">
        <v>353</v>
      </c>
      <c r="F30" s="42"/>
    </row>
    <row r="31" spans="1:12" x14ac:dyDescent="0.2">
      <c r="A31" s="18"/>
      <c r="B31" s="291"/>
      <c r="C31" s="292"/>
      <c r="D31" s="250"/>
      <c r="E31" s="13"/>
      <c r="F31" s="251"/>
    </row>
    <row r="32" spans="1:12" x14ac:dyDescent="0.2">
      <c r="A32" s="19">
        <v>5</v>
      </c>
      <c r="B32" s="290">
        <v>45337</v>
      </c>
      <c r="C32" s="292" t="s">
        <v>354</v>
      </c>
      <c r="F32" s="42"/>
    </row>
    <row r="33" spans="1:10" x14ac:dyDescent="0.2">
      <c r="A33" s="19"/>
      <c r="B33" s="291"/>
      <c r="C33" s="292"/>
      <c r="F33" s="42"/>
      <c r="G33"/>
      <c r="J33"/>
    </row>
    <row r="40" spans="1:10" ht="17" customHeight="1" x14ac:dyDescent="0.2">
      <c r="A40" s="20">
        <v>7</v>
      </c>
      <c r="B40" t="s">
        <v>355</v>
      </c>
      <c r="D40"/>
      <c r="E40" s="1"/>
      <c r="F40" s="3"/>
      <c r="G40"/>
    </row>
    <row r="41" spans="1:10" x14ac:dyDescent="0.2">
      <c r="A41" s="21">
        <v>8</v>
      </c>
      <c r="B41" t="s">
        <v>356</v>
      </c>
      <c r="D41"/>
      <c r="F41" s="3"/>
      <c r="G41"/>
    </row>
    <row r="42" spans="1:10" x14ac:dyDescent="0.2">
      <c r="A42" s="22">
        <v>9</v>
      </c>
      <c r="B42" t="s">
        <v>357</v>
      </c>
      <c r="D42"/>
      <c r="F42" s="3"/>
      <c r="G42" s="275"/>
      <c r="H42" s="275"/>
    </row>
    <row r="43" spans="1:10" x14ac:dyDescent="0.2">
      <c r="A43" s="3"/>
      <c r="D43"/>
      <c r="F43" s="276"/>
      <c r="G43" s="276"/>
    </row>
    <row r="44" spans="1:10" x14ac:dyDescent="0.2">
      <c r="D44"/>
      <c r="E44" s="277"/>
      <c r="G44"/>
    </row>
    <row r="45" spans="1:10" x14ac:dyDescent="0.2">
      <c r="A45" s="3"/>
      <c r="D45"/>
      <c r="F45" s="278"/>
      <c r="G45" s="3"/>
    </row>
    <row r="46" spans="1:10" x14ac:dyDescent="0.2">
      <c r="A46" s="3"/>
      <c r="D46"/>
      <c r="F46" s="279"/>
    </row>
    <row r="47" spans="1:10" x14ac:dyDescent="0.2">
      <c r="D47"/>
      <c r="F47" s="252"/>
      <c r="G47" s="3"/>
    </row>
    <row r="48" spans="1:10" x14ac:dyDescent="0.2">
      <c r="D48"/>
      <c r="E48" s="277"/>
      <c r="G48" s="252"/>
    </row>
    <row r="49" spans="4:8" x14ac:dyDescent="0.2">
      <c r="D49"/>
      <c r="G49"/>
    </row>
    <row r="50" spans="4:8" x14ac:dyDescent="0.2">
      <c r="D50"/>
      <c r="G50"/>
    </row>
    <row r="51" spans="4:8" x14ac:dyDescent="0.2">
      <c r="D51"/>
      <c r="G51" s="275"/>
      <c r="H51" s="275"/>
    </row>
    <row r="52" spans="4:8" x14ac:dyDescent="0.2">
      <c r="D52"/>
      <c r="G52"/>
    </row>
    <row r="53" spans="4:8" x14ac:dyDescent="0.2">
      <c r="G53"/>
    </row>
  </sheetData>
  <mergeCells count="22">
    <mergeCell ref="J12:L12"/>
    <mergeCell ref="A12:A13"/>
    <mergeCell ref="B12:B13"/>
    <mergeCell ref="C12:C13"/>
    <mergeCell ref="D12:F12"/>
    <mergeCell ref="G12:I12"/>
    <mergeCell ref="D28:F28"/>
    <mergeCell ref="G28:I28"/>
    <mergeCell ref="J28:L28"/>
    <mergeCell ref="B14:B15"/>
    <mergeCell ref="C14:C15"/>
    <mergeCell ref="B16:B17"/>
    <mergeCell ref="C16:C17"/>
    <mergeCell ref="B18:B19"/>
    <mergeCell ref="C18:C19"/>
    <mergeCell ref="B30:B31"/>
    <mergeCell ref="C30:C31"/>
    <mergeCell ref="B32:B33"/>
    <mergeCell ref="C32:C33"/>
    <mergeCell ref="A28:A29"/>
    <mergeCell ref="B28:B29"/>
    <mergeCell ref="C28:C29"/>
  </mergeCells>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86FB63-D4EB-6847-958D-E222FC371B09}">
  <sheetPr>
    <tabColor theme="7" tint="0.79998168889431442"/>
  </sheetPr>
  <dimension ref="A1:T76"/>
  <sheetViews>
    <sheetView zoomScale="110" zoomScaleNormal="110" workbookViewId="0">
      <selection activeCell="F15" sqref="F15"/>
    </sheetView>
  </sheetViews>
  <sheetFormatPr baseColWidth="10" defaultRowHeight="16" x14ac:dyDescent="0.2"/>
  <cols>
    <col min="10" max="10" width="54.5" customWidth="1"/>
    <col min="11" max="11" width="13.6640625" bestFit="1" customWidth="1"/>
    <col min="12" max="12" width="15" bestFit="1" customWidth="1"/>
    <col min="13" max="13" width="13.6640625" bestFit="1" customWidth="1"/>
    <col min="14" max="14" width="14.33203125" bestFit="1" customWidth="1"/>
    <col min="15" max="15" width="13.6640625" bestFit="1" customWidth="1"/>
    <col min="16" max="16" width="15" bestFit="1" customWidth="1"/>
    <col min="17" max="17" width="13.6640625" bestFit="1" customWidth="1"/>
    <col min="18" max="18" width="14.33203125" bestFit="1" customWidth="1"/>
    <col min="20" max="20" width="23.5" bestFit="1" customWidth="1"/>
  </cols>
  <sheetData>
    <row r="1" spans="1:20" x14ac:dyDescent="0.2">
      <c r="J1" s="1" t="s">
        <v>358</v>
      </c>
    </row>
    <row r="3" spans="1:20" x14ac:dyDescent="0.2">
      <c r="J3" s="1"/>
      <c r="K3" s="293" t="s">
        <v>50</v>
      </c>
      <c r="L3" s="293"/>
      <c r="M3" s="293"/>
      <c r="N3" s="293"/>
      <c r="O3" s="293"/>
      <c r="P3" s="293"/>
      <c r="Q3" s="293"/>
      <c r="R3" s="293"/>
      <c r="S3" s="1"/>
      <c r="T3" s="1" t="s">
        <v>51</v>
      </c>
    </row>
    <row r="4" spans="1:20" x14ac:dyDescent="0.2">
      <c r="J4" s="1" t="s">
        <v>52</v>
      </c>
      <c r="K4" s="253">
        <v>45230</v>
      </c>
      <c r="L4" s="253">
        <v>45138</v>
      </c>
      <c r="M4" s="253">
        <v>45046</v>
      </c>
      <c r="N4" s="253">
        <v>44957</v>
      </c>
      <c r="O4" s="253">
        <v>44865</v>
      </c>
      <c r="P4" s="253">
        <v>44773</v>
      </c>
      <c r="Q4" s="253">
        <v>44681</v>
      </c>
      <c r="R4" s="253">
        <v>44592</v>
      </c>
      <c r="S4" s="1"/>
      <c r="T4" s="254">
        <v>45046</v>
      </c>
    </row>
    <row r="5" spans="1:20" x14ac:dyDescent="0.2">
      <c r="J5" t="s">
        <v>53</v>
      </c>
      <c r="K5" s="48">
        <v>258565</v>
      </c>
      <c r="L5" s="48">
        <v>269768</v>
      </c>
      <c r="M5" s="48">
        <v>1238431</v>
      </c>
      <c r="N5" s="48">
        <v>1101718</v>
      </c>
      <c r="O5" s="48">
        <v>279447</v>
      </c>
      <c r="P5" s="48">
        <v>267136</v>
      </c>
      <c r="Q5" s="48">
        <v>1176665</v>
      </c>
      <c r="R5" s="48">
        <v>906535</v>
      </c>
      <c r="S5" s="3"/>
      <c r="T5" s="255"/>
    </row>
    <row r="6" spans="1:20" x14ac:dyDescent="0.2">
      <c r="J6" t="s">
        <v>193</v>
      </c>
      <c r="K6" s="48">
        <v>292052</v>
      </c>
      <c r="L6" s="48">
        <v>272660</v>
      </c>
      <c r="M6" s="48">
        <v>527867</v>
      </c>
      <c r="N6" s="48">
        <v>588957</v>
      </c>
      <c r="O6" s="48">
        <v>278753</v>
      </c>
      <c r="P6" s="48">
        <v>244097</v>
      </c>
      <c r="Q6" s="48">
        <v>476205</v>
      </c>
      <c r="R6" s="48">
        <v>419562</v>
      </c>
      <c r="T6" s="255"/>
    </row>
    <row r="7" spans="1:20" x14ac:dyDescent="0.2">
      <c r="J7" t="s">
        <v>359</v>
      </c>
      <c r="K7" s="48">
        <v>174753</v>
      </c>
      <c r="L7" s="48">
        <v>153991</v>
      </c>
      <c r="M7" s="48">
        <v>157957</v>
      </c>
      <c r="N7" s="48">
        <v>182605</v>
      </c>
      <c r="O7" s="48">
        <v>163413</v>
      </c>
      <c r="P7" s="48">
        <v>150411</v>
      </c>
      <c r="Q7" s="48">
        <v>157419</v>
      </c>
      <c r="R7" s="48">
        <v>153331</v>
      </c>
      <c r="T7" s="255"/>
    </row>
    <row r="8" spans="1:20" x14ac:dyDescent="0.2">
      <c r="J8" t="s">
        <v>56</v>
      </c>
      <c r="K8" s="48">
        <v>-208240</v>
      </c>
      <c r="L8" s="48">
        <v>-156883</v>
      </c>
      <c r="M8" s="48">
        <v>552607</v>
      </c>
      <c r="N8" s="48">
        <v>330156</v>
      </c>
      <c r="O8" s="48">
        <v>-162719</v>
      </c>
      <c r="P8" s="48">
        <v>-127372</v>
      </c>
      <c r="Q8" s="48">
        <v>543041</v>
      </c>
      <c r="R8" s="48">
        <v>333642</v>
      </c>
      <c r="S8" s="48"/>
      <c r="T8" s="255"/>
    </row>
    <row r="9" spans="1:20" x14ac:dyDescent="0.2">
      <c r="J9" t="s">
        <v>168</v>
      </c>
      <c r="K9" s="48">
        <v>-207477</v>
      </c>
      <c r="L9" s="48">
        <v>-151312</v>
      </c>
      <c r="M9" s="48">
        <v>506594</v>
      </c>
      <c r="N9" s="48">
        <v>337521</v>
      </c>
      <c r="O9" s="48">
        <v>-166264</v>
      </c>
      <c r="P9" s="48">
        <v>-90698</v>
      </c>
      <c r="Q9" s="48">
        <v>539926</v>
      </c>
      <c r="R9" s="48">
        <v>323345</v>
      </c>
      <c r="T9" s="255"/>
    </row>
    <row r="10" spans="1:20" x14ac:dyDescent="0.2">
      <c r="A10" s="11">
        <v>1</v>
      </c>
      <c r="B10" t="s">
        <v>360</v>
      </c>
      <c r="J10" t="s">
        <v>45</v>
      </c>
      <c r="K10" s="48">
        <v>40730</v>
      </c>
      <c r="L10" s="48">
        <v>40211</v>
      </c>
      <c r="M10" s="48">
        <v>39139</v>
      </c>
      <c r="N10" s="48">
        <v>38370</v>
      </c>
      <c r="O10" s="48">
        <v>35302</v>
      </c>
      <c r="P10" s="48">
        <v>40540</v>
      </c>
      <c r="Q10" s="48">
        <v>35132</v>
      </c>
      <c r="R10" s="48">
        <v>37366</v>
      </c>
      <c r="T10" s="255"/>
    </row>
    <row r="11" spans="1:20" x14ac:dyDescent="0.2">
      <c r="A11" s="15">
        <v>2</v>
      </c>
      <c r="B11" t="s">
        <v>361</v>
      </c>
      <c r="J11" t="s">
        <v>362</v>
      </c>
      <c r="K11" s="48">
        <v>-65160</v>
      </c>
      <c r="L11" s="48">
        <v>-56901</v>
      </c>
      <c r="M11" s="48">
        <v>124289</v>
      </c>
      <c r="N11" s="48">
        <v>79032</v>
      </c>
      <c r="O11" s="48">
        <v>-58006</v>
      </c>
      <c r="P11" s="48">
        <v>-21583</v>
      </c>
      <c r="Q11" s="48">
        <v>118211</v>
      </c>
      <c r="R11" s="48">
        <v>52049</v>
      </c>
      <c r="T11" s="255"/>
    </row>
    <row r="12" spans="1:20" x14ac:dyDescent="0.2">
      <c r="A12" s="16">
        <v>3</v>
      </c>
      <c r="B12" t="s">
        <v>363</v>
      </c>
      <c r="K12" s="48"/>
      <c r="L12" s="48"/>
      <c r="M12" s="48"/>
      <c r="N12" s="48"/>
      <c r="O12" s="48"/>
      <c r="P12" s="48"/>
      <c r="Q12" s="48"/>
      <c r="R12" s="48"/>
    </row>
    <row r="13" spans="1:20" x14ac:dyDescent="0.2">
      <c r="A13" s="174">
        <v>4</v>
      </c>
      <c r="B13" t="s">
        <v>364</v>
      </c>
      <c r="J13" s="1"/>
      <c r="K13" s="293" t="s">
        <v>57</v>
      </c>
      <c r="L13" s="293"/>
      <c r="M13" s="293"/>
      <c r="N13" s="293"/>
      <c r="O13" s="293"/>
      <c r="P13" s="293"/>
      <c r="Q13" s="293"/>
      <c r="R13" s="293"/>
      <c r="T13" s="1" t="s">
        <v>58</v>
      </c>
    </row>
    <row r="14" spans="1:20" x14ac:dyDescent="0.2">
      <c r="A14" s="18">
        <v>5</v>
      </c>
      <c r="B14" t="s">
        <v>365</v>
      </c>
      <c r="J14" s="1" t="s">
        <v>59</v>
      </c>
      <c r="K14" s="254">
        <v>45230</v>
      </c>
      <c r="L14" s="254">
        <v>45138</v>
      </c>
      <c r="M14" s="254">
        <v>45046</v>
      </c>
      <c r="N14" s="254">
        <v>44957</v>
      </c>
      <c r="O14" s="254">
        <v>44865</v>
      </c>
      <c r="P14" s="254">
        <v>44773</v>
      </c>
      <c r="Q14" s="254">
        <v>44681</v>
      </c>
      <c r="R14" s="254">
        <v>44592</v>
      </c>
      <c r="T14" s="254">
        <v>45046</v>
      </c>
    </row>
    <row r="15" spans="1:20" x14ac:dyDescent="0.2">
      <c r="A15" s="19">
        <v>6</v>
      </c>
      <c r="B15" t="s">
        <v>366</v>
      </c>
      <c r="J15" t="s">
        <v>367</v>
      </c>
      <c r="K15" s="48">
        <v>728859</v>
      </c>
      <c r="L15" s="48">
        <v>562975</v>
      </c>
      <c r="M15" s="48">
        <v>896089</v>
      </c>
      <c r="N15" s="48">
        <v>1295252</v>
      </c>
      <c r="O15" s="48">
        <v>1180942</v>
      </c>
      <c r="P15" s="48">
        <v>1107427</v>
      </c>
      <c r="Q15" s="48">
        <v>1401168</v>
      </c>
      <c r="R15" s="48">
        <v>1407019</v>
      </c>
      <c r="S15" s="3"/>
      <c r="T15" s="256"/>
    </row>
    <row r="16" spans="1:20" x14ac:dyDescent="0.2">
      <c r="A16" s="21">
        <v>7</v>
      </c>
      <c r="B16" t="s">
        <v>368</v>
      </c>
      <c r="J16" t="s">
        <v>369</v>
      </c>
      <c r="K16" s="48">
        <v>105546</v>
      </c>
      <c r="L16" s="48">
        <v>381067</v>
      </c>
      <c r="M16" s="48">
        <v>351597</v>
      </c>
      <c r="N16" s="48">
        <v>160393</v>
      </c>
      <c r="O16" s="48">
        <v>118491</v>
      </c>
      <c r="P16" s="48">
        <v>383425</v>
      </c>
      <c r="Q16" s="48">
        <v>267111</v>
      </c>
      <c r="R16" s="48">
        <v>167088</v>
      </c>
      <c r="T16" s="256"/>
    </row>
    <row r="17" spans="1:20" x14ac:dyDescent="0.2">
      <c r="A17" s="22">
        <v>8</v>
      </c>
      <c r="B17" t="s">
        <v>370</v>
      </c>
      <c r="J17" t="s">
        <v>371</v>
      </c>
      <c r="K17" s="48">
        <v>157707</v>
      </c>
      <c r="L17" s="48">
        <v>132548</v>
      </c>
      <c r="M17" s="48">
        <v>103606</v>
      </c>
      <c r="N17" s="48">
        <v>122088</v>
      </c>
      <c r="O17" s="48">
        <v>139926</v>
      </c>
      <c r="P17" s="48">
        <v>108723</v>
      </c>
      <c r="Q17" s="48">
        <v>92608</v>
      </c>
      <c r="R17" s="48">
        <v>104573</v>
      </c>
      <c r="T17" s="256"/>
    </row>
    <row r="18" spans="1:20" x14ac:dyDescent="0.2">
      <c r="J18" t="s">
        <v>372</v>
      </c>
      <c r="K18" s="48">
        <v>142393</v>
      </c>
      <c r="L18" s="48">
        <v>131521</v>
      </c>
      <c r="M18" s="48">
        <v>131136</v>
      </c>
      <c r="N18" s="48">
        <v>182398</v>
      </c>
      <c r="O18" s="48">
        <v>182308</v>
      </c>
      <c r="P18" s="48">
        <v>191957</v>
      </c>
      <c r="Q18" s="48">
        <v>84514</v>
      </c>
      <c r="R18" s="48">
        <v>88747</v>
      </c>
      <c r="T18" s="256"/>
    </row>
    <row r="19" spans="1:20" x14ac:dyDescent="0.2">
      <c r="J19" t="s">
        <v>373</v>
      </c>
      <c r="K19" s="48">
        <v>1134505</v>
      </c>
      <c r="L19" s="48">
        <v>1208111</v>
      </c>
      <c r="M19" s="48">
        <v>1482428</v>
      </c>
      <c r="N19" s="48">
        <v>1760131</v>
      </c>
      <c r="O19" s="48">
        <v>1621667</v>
      </c>
      <c r="P19" s="48">
        <v>1791532</v>
      </c>
      <c r="Q19" s="48">
        <v>1845401</v>
      </c>
      <c r="R19" s="48">
        <v>1767427</v>
      </c>
      <c r="T19" s="256"/>
    </row>
    <row r="20" spans="1:20" x14ac:dyDescent="0.2">
      <c r="J20" t="s">
        <v>374</v>
      </c>
      <c r="K20" s="48">
        <v>5112081</v>
      </c>
      <c r="L20" s="48">
        <v>5097083</v>
      </c>
      <c r="M20" s="48">
        <v>5093661</v>
      </c>
      <c r="N20" s="48">
        <v>5091774</v>
      </c>
      <c r="O20" s="48">
        <v>4902827</v>
      </c>
      <c r="P20" s="48">
        <v>4661443</v>
      </c>
      <c r="Q20" s="48">
        <v>4690373</v>
      </c>
      <c r="R20" s="48">
        <v>4677992</v>
      </c>
      <c r="T20" s="256"/>
    </row>
    <row r="21" spans="1:20" x14ac:dyDescent="0.2">
      <c r="J21" t="s">
        <v>375</v>
      </c>
      <c r="K21" s="257">
        <v>2580352</v>
      </c>
      <c r="L21" s="257">
        <v>2533237</v>
      </c>
      <c r="M21" s="257">
        <v>2523398</v>
      </c>
      <c r="N21" s="257">
        <v>2469712</v>
      </c>
      <c r="O21" s="257">
        <v>2397536</v>
      </c>
      <c r="P21" s="257">
        <v>2351321</v>
      </c>
      <c r="Q21" s="257">
        <v>2350169</v>
      </c>
      <c r="R21" s="257">
        <v>2288988</v>
      </c>
      <c r="T21" s="256"/>
    </row>
    <row r="22" spans="1:20" x14ac:dyDescent="0.2">
      <c r="J22" t="s">
        <v>376</v>
      </c>
      <c r="K22" s="257">
        <v>1968485</v>
      </c>
      <c r="L22" s="257">
        <v>2029689</v>
      </c>
      <c r="M22" s="257">
        <v>2000552</v>
      </c>
      <c r="N22" s="257">
        <v>2033685</v>
      </c>
      <c r="O22" s="257">
        <v>1996141</v>
      </c>
      <c r="P22" s="257">
        <v>2068986</v>
      </c>
      <c r="Q22" s="257">
        <v>2067558</v>
      </c>
      <c r="R22" s="257">
        <v>2082184</v>
      </c>
      <c r="T22" s="256"/>
    </row>
    <row r="23" spans="1:20" x14ac:dyDescent="0.2">
      <c r="J23" t="s">
        <v>377</v>
      </c>
      <c r="K23" s="257">
        <v>125297</v>
      </c>
      <c r="L23" s="257">
        <v>146108</v>
      </c>
      <c r="M23" s="257">
        <v>146208</v>
      </c>
      <c r="N23" s="257">
        <v>149084</v>
      </c>
      <c r="O23" s="257">
        <v>157767</v>
      </c>
      <c r="P23" s="257">
        <v>147388</v>
      </c>
      <c r="Q23" s="257">
        <v>144131</v>
      </c>
      <c r="R23" s="257">
        <v>131127</v>
      </c>
      <c r="T23" s="256"/>
    </row>
    <row r="24" spans="1:20" x14ac:dyDescent="0.2">
      <c r="A24" s="25">
        <v>9</v>
      </c>
      <c r="B24" t="s">
        <v>378</v>
      </c>
      <c r="J24" t="s">
        <v>41</v>
      </c>
      <c r="K24" s="48">
        <v>5760016</v>
      </c>
      <c r="L24" s="48">
        <v>5947754</v>
      </c>
      <c r="M24" s="48">
        <v>6199451</v>
      </c>
      <c r="N24" s="48">
        <v>6564962</v>
      </c>
      <c r="O24" s="48">
        <v>6280866</v>
      </c>
      <c r="P24" s="48">
        <v>6318028</v>
      </c>
      <c r="Q24" s="48">
        <v>6397294</v>
      </c>
      <c r="R24" s="48">
        <v>6369742</v>
      </c>
      <c r="T24" s="256"/>
    </row>
    <row r="25" spans="1:20" x14ac:dyDescent="0.2">
      <c r="A25" s="31">
        <v>10</v>
      </c>
      <c r="B25" t="s">
        <v>379</v>
      </c>
      <c r="J25" t="s">
        <v>380</v>
      </c>
      <c r="K25" s="48">
        <v>161581</v>
      </c>
      <c r="L25" s="48">
        <v>148521</v>
      </c>
      <c r="M25" s="48">
        <v>114164</v>
      </c>
      <c r="N25" s="48">
        <v>179221</v>
      </c>
      <c r="O25" s="48">
        <v>162366</v>
      </c>
      <c r="P25" s="48">
        <v>151263</v>
      </c>
      <c r="Q25" s="48">
        <v>104101</v>
      </c>
      <c r="R25" s="48">
        <v>137895</v>
      </c>
      <c r="T25" s="256"/>
    </row>
    <row r="26" spans="1:20" x14ac:dyDescent="0.2">
      <c r="A26" s="31"/>
      <c r="B26" t="s">
        <v>381</v>
      </c>
      <c r="E26" t="s">
        <v>382</v>
      </c>
      <c r="J26" t="s">
        <v>383</v>
      </c>
      <c r="K26" s="48">
        <v>59543</v>
      </c>
      <c r="L26" s="48">
        <v>121312</v>
      </c>
      <c r="M26" s="48">
        <v>89348</v>
      </c>
      <c r="N26" s="48">
        <v>155171</v>
      </c>
      <c r="O26" s="48">
        <v>119863</v>
      </c>
      <c r="P26" s="48">
        <v>142006</v>
      </c>
      <c r="Q26" s="48">
        <v>69711</v>
      </c>
      <c r="R26" s="48">
        <v>104700</v>
      </c>
      <c r="T26" s="256"/>
    </row>
    <row r="27" spans="1:20" x14ac:dyDescent="0.2">
      <c r="A27" s="31"/>
      <c r="B27" t="s">
        <v>384</v>
      </c>
      <c r="E27" t="s">
        <v>385</v>
      </c>
      <c r="J27" t="s">
        <v>386</v>
      </c>
      <c r="K27" s="48">
        <v>33733</v>
      </c>
      <c r="L27" s="48">
        <v>121730</v>
      </c>
      <c r="M27" s="48">
        <v>50931</v>
      </c>
      <c r="N27" s="48">
        <v>66275</v>
      </c>
      <c r="O27" s="48">
        <v>41239</v>
      </c>
      <c r="P27" s="48">
        <v>163110</v>
      </c>
      <c r="Q27" s="48">
        <v>69793</v>
      </c>
      <c r="R27" s="48">
        <v>59008</v>
      </c>
      <c r="T27" s="256"/>
    </row>
    <row r="28" spans="1:20" x14ac:dyDescent="0.2">
      <c r="A28" s="66">
        <v>11</v>
      </c>
      <c r="B28" t="s">
        <v>387</v>
      </c>
      <c r="J28" t="s">
        <v>388</v>
      </c>
      <c r="K28" s="48">
        <v>872418</v>
      </c>
      <c r="L28" s="48">
        <v>572602</v>
      </c>
      <c r="M28" s="48">
        <v>448321</v>
      </c>
      <c r="N28" s="48">
        <v>619511</v>
      </c>
      <c r="O28" s="48">
        <v>787514</v>
      </c>
      <c r="P28" s="48">
        <v>511306</v>
      </c>
      <c r="Q28" s="48">
        <v>326008</v>
      </c>
      <c r="R28" s="48">
        <v>611477</v>
      </c>
      <c r="T28" s="256"/>
    </row>
    <row r="29" spans="1:20" x14ac:dyDescent="0.2">
      <c r="A29" s="258">
        <v>12</v>
      </c>
      <c r="B29" t="s">
        <v>389</v>
      </c>
      <c r="J29" t="s">
        <v>390</v>
      </c>
      <c r="K29" s="48">
        <v>69659</v>
      </c>
      <c r="L29" s="48">
        <v>69160</v>
      </c>
      <c r="M29" s="48">
        <v>68970</v>
      </c>
      <c r="N29" s="48">
        <v>69582</v>
      </c>
      <c r="O29" s="48">
        <v>67811</v>
      </c>
      <c r="P29" s="48">
        <v>63749</v>
      </c>
      <c r="Q29" s="48">
        <v>63736</v>
      </c>
      <c r="R29" s="48">
        <v>63746</v>
      </c>
      <c r="T29" s="256"/>
    </row>
    <row r="30" spans="1:20" x14ac:dyDescent="0.2">
      <c r="A30" s="151">
        <v>13</v>
      </c>
      <c r="B30" t="s">
        <v>391</v>
      </c>
      <c r="J30" t="s">
        <v>392</v>
      </c>
      <c r="K30" s="48">
        <v>1362847</v>
      </c>
      <c r="L30" s="48">
        <v>1130695</v>
      </c>
      <c r="M30" s="48">
        <v>986361</v>
      </c>
      <c r="N30" s="48">
        <v>1287936</v>
      </c>
      <c r="O30" s="48">
        <v>1342705</v>
      </c>
      <c r="P30" s="48">
        <v>1110854</v>
      </c>
      <c r="Q30" s="48">
        <v>829872</v>
      </c>
      <c r="R30" s="48">
        <v>1155036</v>
      </c>
      <c r="T30" s="256"/>
    </row>
    <row r="31" spans="1:20" x14ac:dyDescent="0.2">
      <c r="A31" s="151"/>
      <c r="B31" t="s">
        <v>393</v>
      </c>
      <c r="J31" t="s">
        <v>394</v>
      </c>
      <c r="K31" s="48">
        <v>2732037</v>
      </c>
      <c r="L31" s="48">
        <v>2750675</v>
      </c>
      <c r="M31" s="48">
        <v>2773747</v>
      </c>
      <c r="N31" s="48">
        <v>2789827</v>
      </c>
      <c r="O31" s="48">
        <v>2769698</v>
      </c>
      <c r="P31" s="48">
        <v>2670300</v>
      </c>
      <c r="Q31" s="48">
        <v>2687488</v>
      </c>
      <c r="R31" s="48">
        <v>2695589</v>
      </c>
      <c r="T31" s="256"/>
    </row>
    <row r="32" spans="1:20" x14ac:dyDescent="0.2">
      <c r="A32" s="197">
        <v>14</v>
      </c>
      <c r="B32" t="s">
        <v>395</v>
      </c>
      <c r="J32" t="s">
        <v>44</v>
      </c>
      <c r="K32" s="48">
        <v>4831836</v>
      </c>
      <c r="L32" s="48">
        <v>4612094</v>
      </c>
      <c r="M32" s="48">
        <v>4599954</v>
      </c>
      <c r="N32" s="48">
        <v>4787611</v>
      </c>
      <c r="O32" s="48">
        <v>4729148</v>
      </c>
      <c r="P32" s="48">
        <v>4470544</v>
      </c>
      <c r="Q32" s="48">
        <v>4332114</v>
      </c>
      <c r="R32" s="48">
        <v>4576058</v>
      </c>
      <c r="T32" s="256"/>
    </row>
    <row r="33" spans="1:20" x14ac:dyDescent="0.2">
      <c r="A33" s="197"/>
      <c r="B33" t="s">
        <v>396</v>
      </c>
      <c r="K33" s="48"/>
      <c r="L33" s="48"/>
      <c r="M33" s="48"/>
      <c r="N33" s="48"/>
      <c r="O33" s="48"/>
      <c r="P33" s="48"/>
      <c r="Q33" s="48"/>
      <c r="R33" s="48"/>
    </row>
    <row r="34" spans="1:20" x14ac:dyDescent="0.2">
      <c r="A34" s="47">
        <v>15</v>
      </c>
      <c r="B34" t="s">
        <v>397</v>
      </c>
      <c r="K34" s="1"/>
      <c r="L34" s="1"/>
      <c r="M34" s="1"/>
      <c r="N34" s="1"/>
      <c r="O34" s="1"/>
      <c r="P34" s="1"/>
      <c r="Q34" s="1"/>
      <c r="R34" s="1"/>
    </row>
    <row r="35" spans="1:20" x14ac:dyDescent="0.2">
      <c r="A35" s="47"/>
      <c r="B35" t="s">
        <v>396</v>
      </c>
      <c r="I35" s="189"/>
      <c r="J35" t="s">
        <v>54</v>
      </c>
      <c r="K35" s="259"/>
      <c r="L35" s="259"/>
      <c r="M35" s="259"/>
      <c r="N35" s="259"/>
      <c r="O35" s="259"/>
      <c r="P35" s="259"/>
      <c r="Q35" s="259"/>
      <c r="R35" s="259"/>
    </row>
    <row r="36" spans="1:20" x14ac:dyDescent="0.2">
      <c r="A36" s="153">
        <v>16</v>
      </c>
      <c r="B36" t="s">
        <v>398</v>
      </c>
      <c r="I36" s="3"/>
      <c r="J36" t="s">
        <v>399</v>
      </c>
      <c r="K36" s="260"/>
      <c r="L36" s="260"/>
      <c r="M36" s="260"/>
      <c r="N36" s="260"/>
      <c r="O36" s="260"/>
      <c r="P36" s="260"/>
      <c r="Q36" s="260"/>
      <c r="R36" s="260"/>
    </row>
    <row r="37" spans="1:20" x14ac:dyDescent="0.2">
      <c r="A37" s="153"/>
      <c r="B37" t="s">
        <v>393</v>
      </c>
      <c r="I37" s="3"/>
      <c r="J37" t="s">
        <v>400</v>
      </c>
      <c r="K37" s="261"/>
      <c r="L37" s="261"/>
      <c r="M37" s="261"/>
      <c r="N37" s="261"/>
      <c r="O37" s="261"/>
      <c r="P37" s="261"/>
      <c r="Q37" s="261"/>
      <c r="R37" s="261"/>
    </row>
    <row r="38" spans="1:20" x14ac:dyDescent="0.2">
      <c r="A38" s="66">
        <v>17</v>
      </c>
      <c r="B38" t="s">
        <v>401</v>
      </c>
      <c r="I38" s="262"/>
      <c r="J38" t="s">
        <v>48</v>
      </c>
      <c r="K38" s="263"/>
      <c r="L38" s="263"/>
      <c r="M38" s="263"/>
      <c r="N38" s="263"/>
      <c r="O38" s="263"/>
      <c r="P38" s="263"/>
      <c r="Q38" s="263"/>
      <c r="R38" s="263"/>
    </row>
    <row r="39" spans="1:20" x14ac:dyDescent="0.2">
      <c r="A39" s="66"/>
      <c r="B39" t="s">
        <v>402</v>
      </c>
      <c r="I39" s="3"/>
      <c r="J39" t="s">
        <v>403</v>
      </c>
      <c r="K39" s="264"/>
      <c r="L39" s="264"/>
      <c r="M39" s="264"/>
      <c r="N39" s="264"/>
      <c r="O39" s="264"/>
      <c r="P39" s="264"/>
      <c r="Q39" s="264"/>
      <c r="R39" s="264"/>
    </row>
    <row r="40" spans="1:20" x14ac:dyDescent="0.2">
      <c r="I40" s="3"/>
      <c r="J40" t="s">
        <v>404</v>
      </c>
      <c r="K40" s="265"/>
      <c r="L40" s="265"/>
      <c r="M40" s="265"/>
      <c r="N40" s="265"/>
      <c r="O40" s="265"/>
      <c r="P40" s="265"/>
      <c r="Q40" s="265"/>
      <c r="R40" s="252"/>
    </row>
    <row r="41" spans="1:20" x14ac:dyDescent="0.2">
      <c r="K41" s="3"/>
      <c r="L41" s="3"/>
      <c r="M41" s="3"/>
      <c r="N41" s="3"/>
      <c r="O41" s="3"/>
      <c r="P41" s="3"/>
      <c r="Q41" s="3"/>
      <c r="R41" s="3"/>
    </row>
    <row r="42" spans="1:20" x14ac:dyDescent="0.2">
      <c r="I42" s="3"/>
      <c r="J42" t="s">
        <v>405</v>
      </c>
      <c r="K42" s="266"/>
      <c r="L42" s="266"/>
      <c r="M42" s="266"/>
      <c r="N42" s="266"/>
      <c r="O42" s="266"/>
      <c r="P42" s="266"/>
      <c r="Q42" s="266"/>
      <c r="R42" s="266"/>
      <c r="S42" s="56"/>
      <c r="T42" s="267"/>
    </row>
    <row r="43" spans="1:20" x14ac:dyDescent="0.2">
      <c r="J43" t="s">
        <v>406</v>
      </c>
      <c r="K43" s="268"/>
      <c r="L43" s="268"/>
      <c r="M43" s="268"/>
      <c r="N43" s="268"/>
      <c r="O43" s="268"/>
      <c r="P43" s="268"/>
      <c r="Q43" s="268"/>
      <c r="R43" s="268"/>
      <c r="S43" s="51"/>
      <c r="T43" s="269"/>
    </row>
    <row r="44" spans="1:20" x14ac:dyDescent="0.2">
      <c r="I44" s="3"/>
      <c r="K44" s="48"/>
      <c r="M44" s="48"/>
      <c r="N44" s="48"/>
      <c r="O44" s="48"/>
      <c r="Q44" s="48"/>
      <c r="R44" s="48"/>
    </row>
    <row r="45" spans="1:20" x14ac:dyDescent="0.2">
      <c r="K45" s="48"/>
      <c r="L45" s="48"/>
      <c r="M45" s="48"/>
      <c r="N45" s="48"/>
      <c r="O45" s="48"/>
      <c r="P45" s="48"/>
      <c r="Q45" s="48"/>
      <c r="R45" s="48"/>
    </row>
    <row r="46" spans="1:20" x14ac:dyDescent="0.2">
      <c r="K46" s="48"/>
      <c r="L46" s="48"/>
      <c r="M46" s="48"/>
      <c r="N46" s="48"/>
      <c r="O46" s="48"/>
      <c r="P46" s="48"/>
      <c r="Q46" s="48"/>
      <c r="R46" s="48"/>
    </row>
    <row r="47" spans="1:20" x14ac:dyDescent="0.2">
      <c r="I47" s="3"/>
    </row>
    <row r="48" spans="1:20" x14ac:dyDescent="0.2">
      <c r="I48" s="3"/>
      <c r="K48" s="48"/>
      <c r="L48" s="48"/>
      <c r="M48" s="48"/>
      <c r="N48" s="48"/>
      <c r="O48" s="48"/>
      <c r="P48" s="48"/>
      <c r="Q48" s="48"/>
      <c r="R48" s="48"/>
    </row>
    <row r="49" spans="11:19" x14ac:dyDescent="0.2">
      <c r="K49" s="48"/>
      <c r="L49" s="48"/>
      <c r="M49" s="48"/>
      <c r="N49" s="48"/>
      <c r="O49" s="48"/>
      <c r="P49" s="48"/>
      <c r="Q49" s="48"/>
      <c r="R49" s="48"/>
    </row>
    <row r="50" spans="11:19" x14ac:dyDescent="0.2">
      <c r="K50" s="48"/>
      <c r="L50" s="48"/>
      <c r="M50" s="48"/>
      <c r="N50" s="48"/>
      <c r="O50" s="48"/>
      <c r="P50" s="48"/>
      <c r="Q50" s="48"/>
      <c r="R50" s="48"/>
    </row>
    <row r="52" spans="11:19" x14ac:dyDescent="0.2">
      <c r="K52" s="48"/>
      <c r="L52" s="48"/>
      <c r="M52" s="48"/>
      <c r="N52" s="48"/>
      <c r="O52" s="48"/>
      <c r="P52" s="48"/>
      <c r="Q52" s="48"/>
      <c r="R52" s="48"/>
    </row>
    <row r="55" spans="11:19" x14ac:dyDescent="0.2">
      <c r="S55" s="1"/>
    </row>
    <row r="56" spans="11:19" x14ac:dyDescent="0.2">
      <c r="K56" s="48"/>
      <c r="L56" s="48"/>
      <c r="M56" s="48"/>
      <c r="N56" s="48"/>
      <c r="O56" s="48"/>
      <c r="P56" s="48"/>
      <c r="Q56" s="48"/>
      <c r="R56" s="48"/>
      <c r="S56" s="55"/>
    </row>
    <row r="57" spans="11:19" x14ac:dyDescent="0.2">
      <c r="K57" s="48"/>
      <c r="L57" s="48"/>
      <c r="M57" s="48"/>
      <c r="N57" s="48"/>
      <c r="O57" s="48"/>
      <c r="P57" s="48"/>
      <c r="Q57" s="48"/>
      <c r="R57" s="48"/>
    </row>
    <row r="58" spans="11:19" x14ac:dyDescent="0.2">
      <c r="K58" s="48"/>
      <c r="L58" s="48"/>
      <c r="M58" s="48"/>
      <c r="N58" s="48"/>
      <c r="O58" s="48"/>
      <c r="P58" s="48"/>
      <c r="Q58" s="48"/>
      <c r="R58" s="48"/>
    </row>
    <row r="59" spans="11:19" x14ac:dyDescent="0.2">
      <c r="K59" s="48"/>
      <c r="L59" s="48"/>
      <c r="M59" s="48"/>
      <c r="N59" s="48"/>
      <c r="O59" s="48"/>
      <c r="P59" s="48"/>
      <c r="Q59" s="48"/>
      <c r="R59" s="48"/>
    </row>
    <row r="60" spans="11:19" x14ac:dyDescent="0.2">
      <c r="K60" s="48"/>
      <c r="L60" s="48"/>
      <c r="M60" s="48"/>
      <c r="N60" s="48"/>
      <c r="O60" s="48"/>
      <c r="P60" s="48"/>
      <c r="Q60" s="48"/>
      <c r="R60" s="48"/>
    </row>
    <row r="61" spans="11:19" x14ac:dyDescent="0.2">
      <c r="K61" s="48"/>
      <c r="L61" s="48"/>
      <c r="M61" s="48"/>
      <c r="N61" s="48"/>
      <c r="O61" s="48"/>
      <c r="P61" s="48"/>
      <c r="Q61" s="48"/>
      <c r="R61" s="48"/>
    </row>
    <row r="62" spans="11:19" x14ac:dyDescent="0.2">
      <c r="K62" s="48"/>
      <c r="L62" s="48"/>
      <c r="M62" s="48"/>
      <c r="N62" s="48"/>
      <c r="O62" s="48"/>
      <c r="P62" s="48"/>
      <c r="Q62" s="48"/>
      <c r="R62" s="48"/>
    </row>
    <row r="64" spans="11:19" x14ac:dyDescent="0.2">
      <c r="K64" s="48"/>
      <c r="L64" s="48"/>
      <c r="M64" s="48"/>
      <c r="N64" s="48"/>
      <c r="O64" s="48"/>
      <c r="P64" s="48"/>
      <c r="Q64" s="48"/>
      <c r="R64" s="48"/>
    </row>
    <row r="65" spans="11:18" x14ac:dyDescent="0.2">
      <c r="K65" s="48"/>
      <c r="L65" s="48"/>
      <c r="M65" s="48"/>
      <c r="N65" s="48"/>
      <c r="O65" s="48"/>
      <c r="P65" s="48"/>
      <c r="Q65" s="48"/>
      <c r="R65" s="48"/>
    </row>
    <row r="66" spans="11:18" x14ac:dyDescent="0.2">
      <c r="K66" s="48"/>
      <c r="L66" s="48"/>
      <c r="M66" s="48"/>
      <c r="N66" s="48"/>
      <c r="O66" s="48"/>
      <c r="P66" s="48"/>
      <c r="Q66" s="48"/>
      <c r="R66" s="48"/>
    </row>
    <row r="67" spans="11:18" x14ac:dyDescent="0.2">
      <c r="K67" s="48"/>
      <c r="L67" s="48"/>
      <c r="M67" s="48"/>
      <c r="N67" s="48"/>
      <c r="O67" s="48"/>
      <c r="P67" s="48"/>
      <c r="Q67" s="48"/>
      <c r="R67" s="48"/>
    </row>
    <row r="68" spans="11:18" x14ac:dyDescent="0.2">
      <c r="K68" s="48"/>
      <c r="L68" s="48"/>
      <c r="M68" s="48"/>
      <c r="N68" s="48"/>
      <c r="O68" s="48"/>
      <c r="P68" s="48"/>
      <c r="Q68" s="48"/>
      <c r="R68" s="48"/>
    </row>
    <row r="69" spans="11:18" x14ac:dyDescent="0.2">
      <c r="K69" s="48"/>
      <c r="L69" s="48"/>
      <c r="M69" s="48"/>
      <c r="N69" s="48"/>
      <c r="O69" s="48"/>
      <c r="P69" s="48"/>
      <c r="Q69" s="48"/>
      <c r="R69" s="48"/>
    </row>
    <row r="70" spans="11:18" x14ac:dyDescent="0.2">
      <c r="K70" s="48"/>
      <c r="L70" s="48"/>
      <c r="M70" s="48"/>
      <c r="N70" s="48"/>
      <c r="O70" s="48"/>
      <c r="P70" s="48"/>
      <c r="Q70" s="48"/>
      <c r="R70" s="48"/>
    </row>
    <row r="71" spans="11:18" x14ac:dyDescent="0.2">
      <c r="K71" s="48"/>
      <c r="L71" s="48"/>
      <c r="M71" s="48"/>
      <c r="N71" s="48"/>
      <c r="O71" s="48"/>
      <c r="P71" s="48"/>
      <c r="Q71" s="48"/>
      <c r="R71" s="48"/>
    </row>
    <row r="72" spans="11:18" x14ac:dyDescent="0.2">
      <c r="K72" s="48"/>
      <c r="L72" s="48"/>
      <c r="M72" s="48"/>
      <c r="N72" s="48"/>
      <c r="O72" s="48"/>
      <c r="P72" s="48"/>
      <c r="Q72" s="48"/>
      <c r="R72" s="48"/>
    </row>
    <row r="73" spans="11:18" x14ac:dyDescent="0.2">
      <c r="K73" s="48"/>
      <c r="L73" s="48"/>
      <c r="M73" s="48"/>
      <c r="N73" s="48"/>
      <c r="O73" s="48"/>
      <c r="P73" s="48"/>
      <c r="Q73" s="48"/>
      <c r="R73" s="48"/>
    </row>
    <row r="74" spans="11:18" x14ac:dyDescent="0.2">
      <c r="K74" s="48"/>
      <c r="L74" s="48"/>
      <c r="M74" s="48"/>
      <c r="N74" s="48"/>
      <c r="O74" s="48"/>
      <c r="P74" s="48"/>
      <c r="Q74" s="48"/>
      <c r="R74" s="48"/>
    </row>
    <row r="75" spans="11:18" x14ac:dyDescent="0.2">
      <c r="K75" s="48"/>
      <c r="L75" s="48"/>
      <c r="M75" s="48"/>
      <c r="N75" s="48"/>
      <c r="O75" s="48"/>
      <c r="P75" s="48"/>
      <c r="Q75" s="48"/>
      <c r="R75" s="48"/>
    </row>
    <row r="76" spans="11:18" x14ac:dyDescent="0.2">
      <c r="K76" s="48"/>
      <c r="L76" s="48"/>
      <c r="M76" s="48"/>
      <c r="N76" s="48"/>
      <c r="O76" s="48"/>
      <c r="P76" s="48"/>
      <c r="Q76" s="48"/>
      <c r="R76" s="48"/>
    </row>
  </sheetData>
  <mergeCells count="2">
    <mergeCell ref="K3:R3"/>
    <mergeCell ref="K13:R13"/>
  </mergeCells>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A18540-AB26-3849-84C3-2529C715E313}">
  <sheetPr>
    <tabColor theme="7" tint="0.79998168889431442"/>
  </sheetPr>
  <dimension ref="A1:X54"/>
  <sheetViews>
    <sheetView zoomScale="110" zoomScaleNormal="110" workbookViewId="0">
      <selection activeCell="O40" sqref="O40"/>
    </sheetView>
  </sheetViews>
  <sheetFormatPr baseColWidth="10" defaultRowHeight="16" x14ac:dyDescent="0.2"/>
  <cols>
    <col min="11" max="11" width="39.33203125" customWidth="1"/>
    <col min="12" max="12" width="13.33203125" bestFit="1" customWidth="1"/>
    <col min="13" max="14" width="12.6640625" bestFit="1" customWidth="1"/>
    <col min="15" max="15" width="13.6640625" bestFit="1" customWidth="1"/>
  </cols>
  <sheetData>
    <row r="1" spans="1:24" x14ac:dyDescent="0.2">
      <c r="K1" s="1" t="s">
        <v>358</v>
      </c>
    </row>
    <row r="3" spans="1:24" x14ac:dyDescent="0.2">
      <c r="K3" s="1" t="s">
        <v>187</v>
      </c>
      <c r="L3" s="253">
        <v>44985</v>
      </c>
      <c r="M3" s="253">
        <v>44620</v>
      </c>
      <c r="N3" s="253">
        <v>44255</v>
      </c>
      <c r="O3" s="253">
        <v>43890</v>
      </c>
    </row>
    <row r="4" spans="1:24" x14ac:dyDescent="0.2">
      <c r="K4" t="s">
        <v>53</v>
      </c>
      <c r="L4" s="48">
        <v>5344685</v>
      </c>
      <c r="M4" s="48">
        <v>7867778</v>
      </c>
      <c r="N4" s="48">
        <v>9233028</v>
      </c>
      <c r="O4" s="48">
        <v>11158580</v>
      </c>
      <c r="R4" s="48"/>
      <c r="S4" s="48"/>
      <c r="T4" s="48"/>
      <c r="U4" s="48"/>
      <c r="V4" s="48"/>
      <c r="W4" s="48"/>
      <c r="X4" s="48"/>
    </row>
    <row r="5" spans="1:24" x14ac:dyDescent="0.2">
      <c r="K5" t="s">
        <v>407</v>
      </c>
      <c r="L5" s="48">
        <v>4129802</v>
      </c>
      <c r="M5" s="48">
        <v>5384287</v>
      </c>
      <c r="N5" s="48">
        <v>6114947</v>
      </c>
      <c r="O5" s="48">
        <v>7616920</v>
      </c>
      <c r="R5" s="48"/>
      <c r="S5" s="48"/>
      <c r="T5" s="48"/>
      <c r="U5" s="48"/>
      <c r="V5" s="48"/>
      <c r="W5" s="48"/>
      <c r="X5" s="48"/>
    </row>
    <row r="6" spans="1:24" x14ac:dyDescent="0.2">
      <c r="K6" t="s">
        <v>54</v>
      </c>
      <c r="L6" s="48">
        <v>1214883</v>
      </c>
      <c r="M6" s="48">
        <v>2483491</v>
      </c>
      <c r="N6" s="48">
        <v>3118081</v>
      </c>
      <c r="O6" s="48">
        <v>3541660</v>
      </c>
      <c r="R6" s="48"/>
      <c r="S6" s="48"/>
      <c r="T6" s="48"/>
      <c r="U6" s="48"/>
      <c r="V6" s="48"/>
      <c r="W6" s="48"/>
      <c r="X6" s="48"/>
    </row>
    <row r="7" spans="1:24" x14ac:dyDescent="0.2">
      <c r="K7" t="s">
        <v>56</v>
      </c>
      <c r="L7" s="48">
        <v>-1158086</v>
      </c>
      <c r="M7" s="48">
        <v>-208801</v>
      </c>
      <c r="N7" s="48">
        <v>-106282</v>
      </c>
      <c r="O7" s="48">
        <v>-190838</v>
      </c>
      <c r="R7" s="48"/>
      <c r="S7" s="48"/>
      <c r="T7" s="48"/>
      <c r="U7" s="48"/>
      <c r="V7" s="48"/>
      <c r="W7" s="48"/>
      <c r="X7" s="48"/>
    </row>
    <row r="8" spans="1:24" x14ac:dyDescent="0.2">
      <c r="K8" t="s">
        <v>121</v>
      </c>
      <c r="L8" s="48">
        <v>-3419373</v>
      </c>
      <c r="M8" s="48">
        <v>-407954</v>
      </c>
      <c r="N8" s="48">
        <v>-259849</v>
      </c>
      <c r="O8" s="48">
        <v>-700064</v>
      </c>
      <c r="R8" s="48"/>
      <c r="S8" s="48"/>
      <c r="T8" s="48"/>
      <c r="U8" s="48"/>
      <c r="V8" s="48"/>
      <c r="W8" s="48"/>
      <c r="X8" s="48"/>
    </row>
    <row r="9" spans="1:24" x14ac:dyDescent="0.2">
      <c r="K9" t="s">
        <v>408</v>
      </c>
      <c r="L9" s="48">
        <v>-3529870</v>
      </c>
      <c r="M9" s="48">
        <v>-472656</v>
      </c>
      <c r="N9" s="48">
        <v>-336762</v>
      </c>
      <c r="O9" s="48">
        <v>-764853</v>
      </c>
      <c r="R9" s="48"/>
      <c r="S9" s="48"/>
      <c r="T9" s="48"/>
      <c r="U9" s="48"/>
      <c r="V9" s="48"/>
      <c r="W9" s="48"/>
      <c r="X9" s="48"/>
    </row>
    <row r="10" spans="1:24" x14ac:dyDescent="0.2">
      <c r="A10" s="11">
        <v>1</v>
      </c>
      <c r="B10" t="s">
        <v>409</v>
      </c>
      <c r="R10" s="48"/>
      <c r="S10" s="48"/>
      <c r="T10" s="48"/>
      <c r="U10" s="48"/>
      <c r="V10" s="48"/>
      <c r="W10" s="48"/>
      <c r="X10" s="48"/>
    </row>
    <row r="11" spans="1:24" x14ac:dyDescent="0.2">
      <c r="A11" s="3"/>
      <c r="K11" s="1" t="s">
        <v>59</v>
      </c>
      <c r="L11" s="253">
        <v>44985</v>
      </c>
      <c r="M11" s="253">
        <v>44620</v>
      </c>
      <c r="N11" s="253">
        <v>44255</v>
      </c>
      <c r="O11" s="253">
        <v>43890</v>
      </c>
      <c r="R11" s="48"/>
      <c r="S11" s="48"/>
      <c r="T11" s="48"/>
      <c r="U11" s="48"/>
      <c r="V11" s="48"/>
      <c r="W11" s="48"/>
      <c r="X11" s="48"/>
    </row>
    <row r="12" spans="1:24" x14ac:dyDescent="0.2">
      <c r="A12" s="3"/>
      <c r="K12" t="s">
        <v>41</v>
      </c>
      <c r="L12" s="48">
        <v>2225217</v>
      </c>
      <c r="M12" s="48">
        <v>5130572</v>
      </c>
      <c r="N12" s="48">
        <v>6456930</v>
      </c>
      <c r="O12" s="48">
        <v>7790515</v>
      </c>
      <c r="R12" s="48"/>
      <c r="S12" s="48"/>
      <c r="T12" s="48"/>
      <c r="U12" s="48"/>
      <c r="V12" s="48"/>
      <c r="W12" s="48"/>
      <c r="X12" s="48"/>
    </row>
    <row r="13" spans="1:24" x14ac:dyDescent="0.2">
      <c r="A13" s="16">
        <v>3</v>
      </c>
      <c r="B13" t="s">
        <v>410</v>
      </c>
      <c r="K13" t="s">
        <v>411</v>
      </c>
      <c r="L13" s="48">
        <v>1096909</v>
      </c>
      <c r="M13" s="48">
        <v>2363154</v>
      </c>
      <c r="N13" s="48">
        <v>3620045</v>
      </c>
      <c r="O13" s="48">
        <v>3826285</v>
      </c>
      <c r="R13" s="48"/>
      <c r="S13" s="48"/>
      <c r="T13" s="48"/>
      <c r="U13" s="48"/>
      <c r="V13" s="48"/>
      <c r="W13" s="48"/>
      <c r="X13" s="48"/>
    </row>
    <row r="14" spans="1:24" x14ac:dyDescent="0.2">
      <c r="A14" s="16"/>
      <c r="B14" t="s">
        <v>396</v>
      </c>
      <c r="K14" t="s">
        <v>412</v>
      </c>
      <c r="L14" s="48">
        <v>65853</v>
      </c>
      <c r="M14" s="48">
        <v>439496</v>
      </c>
      <c r="N14" s="48">
        <v>1352984</v>
      </c>
      <c r="O14" s="48">
        <v>1000340</v>
      </c>
      <c r="R14" s="48"/>
      <c r="S14" s="48"/>
      <c r="T14" s="48"/>
      <c r="U14" s="48"/>
      <c r="V14" s="48"/>
      <c r="W14" s="48"/>
      <c r="X14" s="48"/>
    </row>
    <row r="15" spans="1:24" x14ac:dyDescent="0.2">
      <c r="A15" s="174">
        <v>4</v>
      </c>
      <c r="B15" t="s">
        <v>413</v>
      </c>
      <c r="K15" t="s">
        <v>414</v>
      </c>
      <c r="L15" s="48">
        <v>817553</v>
      </c>
      <c r="M15" s="48">
        <v>1725410</v>
      </c>
      <c r="N15" s="48">
        <v>1671909</v>
      </c>
      <c r="O15" s="48">
        <v>2093869</v>
      </c>
      <c r="R15" s="48"/>
      <c r="S15" s="48"/>
      <c r="T15" s="48"/>
      <c r="U15" s="48"/>
      <c r="V15" s="48"/>
      <c r="W15" s="48"/>
      <c r="X15" s="48"/>
    </row>
    <row r="16" spans="1:24" x14ac:dyDescent="0.2">
      <c r="K16" t="s">
        <v>415</v>
      </c>
      <c r="L16" s="48">
        <v>817553</v>
      </c>
      <c r="M16" s="48">
        <v>1725410</v>
      </c>
      <c r="N16" s="48">
        <v>1671909</v>
      </c>
      <c r="O16" s="48">
        <v>2093869</v>
      </c>
      <c r="R16" s="48"/>
      <c r="S16" s="48"/>
      <c r="T16" s="48"/>
      <c r="U16" s="48"/>
      <c r="V16" s="48"/>
      <c r="W16" s="48"/>
      <c r="X16" s="48"/>
    </row>
    <row r="17" spans="1:24" x14ac:dyDescent="0.2">
      <c r="K17" t="s">
        <v>416</v>
      </c>
      <c r="L17" s="48">
        <v>131161</v>
      </c>
      <c r="M17" s="48">
        <v>171748</v>
      </c>
      <c r="N17" s="48">
        <v>277052</v>
      </c>
      <c r="O17" s="48">
        <v>248342</v>
      </c>
      <c r="R17" s="48"/>
      <c r="S17" s="48"/>
      <c r="T17" s="48"/>
      <c r="U17" s="48"/>
      <c r="V17" s="48"/>
      <c r="W17" s="48"/>
      <c r="X17" s="48"/>
    </row>
    <row r="18" spans="1:24" x14ac:dyDescent="0.2">
      <c r="K18" t="s">
        <v>417</v>
      </c>
      <c r="L18" s="48">
        <v>1128308</v>
      </c>
      <c r="M18" s="48">
        <v>2767418</v>
      </c>
      <c r="N18" s="48">
        <v>2836885</v>
      </c>
      <c r="O18" s="48">
        <v>3964230</v>
      </c>
      <c r="R18" s="48"/>
      <c r="S18" s="48"/>
      <c r="T18" s="48"/>
      <c r="U18" s="48"/>
      <c r="V18" s="48"/>
      <c r="W18" s="48"/>
      <c r="X18" s="48"/>
    </row>
    <row r="19" spans="1:24" x14ac:dyDescent="0.2">
      <c r="K19" t="s">
        <v>418</v>
      </c>
      <c r="L19" s="48">
        <v>1016025</v>
      </c>
      <c r="M19" s="48">
        <v>2590244</v>
      </c>
      <c r="N19" s="48">
        <v>2505519</v>
      </c>
      <c r="O19" s="48">
        <v>3437570</v>
      </c>
      <c r="R19" s="48"/>
      <c r="S19" s="48"/>
      <c r="T19" s="48"/>
      <c r="U19" s="48"/>
      <c r="V19" s="48"/>
      <c r="W19" s="48"/>
      <c r="X19" s="48"/>
    </row>
    <row r="20" spans="1:24" x14ac:dyDescent="0.2">
      <c r="K20" t="s">
        <v>44</v>
      </c>
      <c r="L20" s="48">
        <v>5025225</v>
      </c>
      <c r="M20" s="48">
        <v>4956427</v>
      </c>
      <c r="N20" s="48">
        <v>5179994</v>
      </c>
      <c r="O20" s="48">
        <v>6025580</v>
      </c>
      <c r="R20" s="48"/>
      <c r="S20" s="48"/>
      <c r="T20" s="48"/>
      <c r="U20" s="48"/>
      <c r="V20" s="48"/>
      <c r="W20" s="48"/>
      <c r="X20" s="48"/>
    </row>
    <row r="21" spans="1:24" x14ac:dyDescent="0.2">
      <c r="K21" t="s">
        <v>419</v>
      </c>
      <c r="L21" s="48">
        <v>2495884</v>
      </c>
      <c r="M21" s="48">
        <v>2074787</v>
      </c>
      <c r="N21" s="48">
        <v>2294921</v>
      </c>
      <c r="O21" s="48">
        <v>2466526</v>
      </c>
      <c r="R21" s="48"/>
      <c r="S21" s="48"/>
      <c r="T21" s="48"/>
      <c r="U21" s="48"/>
      <c r="V21" s="48"/>
      <c r="W21" s="48"/>
      <c r="X21" s="48"/>
    </row>
    <row r="22" spans="1:24" x14ac:dyDescent="0.2">
      <c r="K22" t="s">
        <v>420</v>
      </c>
      <c r="L22" s="48">
        <v>457924</v>
      </c>
      <c r="M22" s="48">
        <v>872445</v>
      </c>
      <c r="N22" s="48">
        <v>986045</v>
      </c>
      <c r="O22" s="48">
        <v>944194</v>
      </c>
      <c r="R22" s="48"/>
      <c r="S22" s="48"/>
      <c r="T22" s="48"/>
      <c r="U22" s="48"/>
      <c r="V22" s="48"/>
      <c r="W22" s="48"/>
      <c r="X22" s="48"/>
    </row>
    <row r="23" spans="1:24" x14ac:dyDescent="0.2">
      <c r="K23" t="s">
        <v>421</v>
      </c>
      <c r="L23" s="48">
        <v>1026133</v>
      </c>
      <c r="M23" s="48">
        <v>1179776</v>
      </c>
      <c r="N23" s="48">
        <v>1190363</v>
      </c>
      <c r="O23" s="48">
        <v>1488400</v>
      </c>
      <c r="R23" s="48"/>
      <c r="S23" s="48"/>
      <c r="T23" s="48"/>
      <c r="U23" s="48"/>
      <c r="V23" s="48"/>
      <c r="W23" s="48"/>
      <c r="X23" s="48"/>
    </row>
    <row r="24" spans="1:24" x14ac:dyDescent="0.2">
      <c r="A24" s="18"/>
      <c r="L24" s="48"/>
      <c r="M24" s="48"/>
      <c r="N24" s="48"/>
      <c r="O24" s="48"/>
      <c r="R24" s="48"/>
      <c r="S24" s="48"/>
      <c r="T24" s="48"/>
      <c r="U24" s="48"/>
      <c r="V24" s="48"/>
      <c r="W24" s="48"/>
      <c r="X24" s="48"/>
    </row>
    <row r="25" spans="1:24" x14ac:dyDescent="0.2">
      <c r="A25" s="18"/>
      <c r="K25" t="s">
        <v>65</v>
      </c>
      <c r="L25" s="259"/>
      <c r="M25" s="259"/>
      <c r="N25" s="259"/>
      <c r="O25" s="259"/>
      <c r="R25" s="48"/>
      <c r="S25" s="48"/>
      <c r="T25" s="48"/>
      <c r="U25" s="48"/>
      <c r="V25" s="48"/>
      <c r="W25" s="48"/>
      <c r="X25" s="48"/>
    </row>
    <row r="26" spans="1:24" x14ac:dyDescent="0.2">
      <c r="A26" s="19">
        <v>6</v>
      </c>
      <c r="B26" t="s">
        <v>435</v>
      </c>
      <c r="L26" s="260"/>
      <c r="M26" s="260"/>
      <c r="N26" s="260"/>
      <c r="O26" s="260"/>
      <c r="R26" s="48"/>
      <c r="S26" s="48"/>
      <c r="T26" s="48"/>
      <c r="U26" s="48"/>
      <c r="V26" s="48"/>
      <c r="W26" s="48"/>
      <c r="X26" s="48"/>
    </row>
    <row r="27" spans="1:24" x14ac:dyDescent="0.2">
      <c r="A27" s="19"/>
      <c r="B27" t="s">
        <v>436</v>
      </c>
      <c r="K27" t="s">
        <v>422</v>
      </c>
      <c r="L27" s="178"/>
      <c r="M27" s="178"/>
      <c r="N27" s="178"/>
      <c r="O27" s="178"/>
      <c r="R27" s="48"/>
      <c r="S27" s="48"/>
      <c r="T27" s="48"/>
      <c r="U27" s="48"/>
      <c r="V27" s="48"/>
      <c r="W27" s="48"/>
      <c r="X27" s="48"/>
    </row>
    <row r="28" spans="1:24" x14ac:dyDescent="0.2">
      <c r="A28" s="20">
        <v>7</v>
      </c>
      <c r="B28" t="s">
        <v>423</v>
      </c>
      <c r="L28" s="270"/>
      <c r="M28" s="270"/>
      <c r="N28" s="270"/>
      <c r="O28" s="270"/>
      <c r="R28" s="48"/>
      <c r="S28" s="48"/>
      <c r="T28" s="48"/>
      <c r="U28" s="48"/>
      <c r="V28" s="48"/>
      <c r="W28" s="48"/>
      <c r="X28" s="48"/>
    </row>
    <row r="29" spans="1:24" x14ac:dyDescent="0.2">
      <c r="A29" s="20"/>
      <c r="B29" t="s">
        <v>396</v>
      </c>
      <c r="K29" t="s">
        <v>437</v>
      </c>
      <c r="L29" s="271"/>
      <c r="M29" s="271"/>
      <c r="N29" s="271"/>
      <c r="O29" s="271"/>
      <c r="R29" s="48"/>
      <c r="S29" s="48"/>
      <c r="T29" s="48"/>
      <c r="U29" s="48"/>
      <c r="V29" s="48"/>
      <c r="W29" s="48"/>
      <c r="X29" s="48"/>
    </row>
    <row r="30" spans="1:24" x14ac:dyDescent="0.2">
      <c r="A30" s="21">
        <v>8</v>
      </c>
      <c r="B30" t="s">
        <v>424</v>
      </c>
      <c r="K30" t="s">
        <v>425</v>
      </c>
      <c r="L30" s="181"/>
      <c r="M30" s="181"/>
      <c r="N30" s="181"/>
      <c r="O30" s="181"/>
      <c r="R30" s="48"/>
      <c r="S30" s="48"/>
      <c r="T30" s="48"/>
      <c r="U30" s="48"/>
      <c r="V30" s="48"/>
      <c r="W30" s="48"/>
      <c r="X30" s="48"/>
    </row>
    <row r="31" spans="1:24" x14ac:dyDescent="0.2">
      <c r="A31" s="21"/>
      <c r="B31" t="s">
        <v>396</v>
      </c>
      <c r="K31" t="s">
        <v>426</v>
      </c>
      <c r="L31" s="182"/>
      <c r="M31" s="182"/>
      <c r="N31" s="182"/>
      <c r="O31" s="182"/>
      <c r="R31" s="48"/>
      <c r="S31" s="48"/>
      <c r="T31" s="48"/>
      <c r="U31" s="48"/>
      <c r="V31" s="48"/>
      <c r="W31" s="48"/>
      <c r="X31" s="48"/>
    </row>
    <row r="32" spans="1:24" x14ac:dyDescent="0.2">
      <c r="A32" s="22">
        <v>9</v>
      </c>
      <c r="B32" t="s">
        <v>441</v>
      </c>
      <c r="K32" t="s">
        <v>427</v>
      </c>
      <c r="L32" s="272"/>
      <c r="M32" s="272"/>
      <c r="N32" s="272"/>
      <c r="O32" s="272"/>
      <c r="R32" s="48"/>
      <c r="S32" s="48"/>
      <c r="T32" s="48"/>
      <c r="U32" s="48"/>
      <c r="V32" s="48"/>
      <c r="W32" s="48"/>
      <c r="X32" s="48"/>
    </row>
    <row r="33" spans="1:24" x14ac:dyDescent="0.2">
      <c r="A33" s="22"/>
      <c r="B33" t="s">
        <v>428</v>
      </c>
      <c r="R33" s="48"/>
      <c r="S33" s="48"/>
      <c r="T33" s="48"/>
      <c r="U33" s="48"/>
      <c r="V33" s="48"/>
      <c r="W33" s="48"/>
      <c r="X33" s="48"/>
    </row>
    <row r="34" spans="1:24" x14ac:dyDescent="0.2">
      <c r="A34" s="25">
        <v>10</v>
      </c>
      <c r="B34" t="s">
        <v>429</v>
      </c>
      <c r="K34" s="65" t="s">
        <v>66</v>
      </c>
      <c r="R34" s="48"/>
      <c r="S34" s="48"/>
      <c r="T34" s="48"/>
      <c r="U34" s="48"/>
      <c r="V34" s="48"/>
      <c r="W34" s="48"/>
      <c r="X34" s="48"/>
    </row>
    <row r="35" spans="1:24" x14ac:dyDescent="0.2">
      <c r="A35" s="25"/>
      <c r="B35" t="s">
        <v>430</v>
      </c>
      <c r="K35" t="s">
        <v>431</v>
      </c>
      <c r="R35" s="48"/>
      <c r="S35" s="48"/>
      <c r="T35" s="48"/>
      <c r="U35" s="48"/>
      <c r="V35" s="48"/>
      <c r="W35" s="48"/>
      <c r="X35" s="48"/>
    </row>
    <row r="36" spans="1:24" x14ac:dyDescent="0.2">
      <c r="A36" s="25"/>
      <c r="B36" t="s">
        <v>432</v>
      </c>
      <c r="R36" s="48"/>
      <c r="S36" s="48"/>
      <c r="T36" s="48"/>
      <c r="U36" s="48"/>
      <c r="V36" s="48"/>
      <c r="W36" s="48"/>
      <c r="X36" s="48"/>
    </row>
    <row r="37" spans="1:24" x14ac:dyDescent="0.2">
      <c r="A37" s="25"/>
      <c r="B37" t="s">
        <v>433</v>
      </c>
      <c r="J37" s="262"/>
      <c r="R37" s="48"/>
      <c r="S37" s="48"/>
      <c r="T37" s="48"/>
      <c r="U37" s="48"/>
      <c r="V37" s="48"/>
      <c r="W37" s="48"/>
      <c r="X37" s="48"/>
    </row>
    <row r="38" spans="1:24" x14ac:dyDescent="0.2">
      <c r="A38" s="25"/>
      <c r="B38" t="s">
        <v>434</v>
      </c>
      <c r="R38" s="48"/>
      <c r="S38" s="48"/>
      <c r="T38" s="48"/>
      <c r="U38" s="48"/>
      <c r="V38" s="48"/>
      <c r="W38" s="48"/>
      <c r="X38" s="48"/>
    </row>
    <row r="39" spans="1:24" x14ac:dyDescent="0.2">
      <c r="R39" s="48"/>
      <c r="S39" s="48"/>
      <c r="T39" s="48"/>
      <c r="U39" s="48"/>
      <c r="V39" s="48"/>
      <c r="W39" s="48"/>
      <c r="X39" s="48"/>
    </row>
    <row r="40" spans="1:24" x14ac:dyDescent="0.2">
      <c r="J40" s="3"/>
      <c r="R40" s="48"/>
      <c r="S40" s="48"/>
      <c r="T40" s="48"/>
      <c r="U40" s="48"/>
      <c r="V40" s="48"/>
      <c r="W40" s="48"/>
      <c r="X40" s="48"/>
    </row>
    <row r="41" spans="1:24" x14ac:dyDescent="0.2">
      <c r="R41" s="48"/>
      <c r="S41" s="48"/>
      <c r="T41" s="48"/>
      <c r="U41" s="48"/>
      <c r="V41" s="48"/>
      <c r="W41" s="48"/>
      <c r="X41" s="48"/>
    </row>
    <row r="42" spans="1:24" x14ac:dyDescent="0.2">
      <c r="R42" s="48"/>
      <c r="S42" s="48"/>
      <c r="T42" s="48"/>
      <c r="U42" s="48"/>
      <c r="V42" s="48"/>
      <c r="W42" s="48"/>
      <c r="X42" s="48"/>
    </row>
    <row r="43" spans="1:24" x14ac:dyDescent="0.2">
      <c r="R43" s="48"/>
      <c r="S43" s="48"/>
      <c r="T43" s="48"/>
      <c r="U43" s="48"/>
      <c r="V43" s="48"/>
      <c r="W43" s="48"/>
      <c r="X43" s="48"/>
    </row>
    <row r="44" spans="1:24" x14ac:dyDescent="0.2">
      <c r="R44" s="48"/>
      <c r="S44" s="48"/>
      <c r="T44" s="48"/>
      <c r="U44" s="48"/>
      <c r="V44" s="48"/>
      <c r="W44" s="48"/>
      <c r="X44" s="48"/>
    </row>
    <row r="45" spans="1:24" x14ac:dyDescent="0.2">
      <c r="R45" s="48"/>
      <c r="S45" s="48"/>
      <c r="T45" s="48"/>
      <c r="U45" s="48"/>
      <c r="V45" s="48"/>
      <c r="W45" s="48"/>
      <c r="X45" s="48"/>
    </row>
    <row r="46" spans="1:24" x14ac:dyDescent="0.2">
      <c r="R46" s="48"/>
      <c r="S46" s="48"/>
      <c r="T46" s="48"/>
      <c r="U46" s="48"/>
      <c r="V46" s="48"/>
      <c r="W46" s="48"/>
      <c r="X46" s="48"/>
    </row>
    <row r="47" spans="1:24" x14ac:dyDescent="0.2">
      <c r="R47" s="48"/>
      <c r="S47" s="48"/>
      <c r="T47" s="48"/>
      <c r="U47" s="48"/>
      <c r="V47" s="48"/>
      <c r="W47" s="48"/>
      <c r="X47" s="48"/>
    </row>
    <row r="48" spans="1:24" x14ac:dyDescent="0.2">
      <c r="R48" s="48"/>
      <c r="S48" s="48"/>
      <c r="T48" s="48"/>
      <c r="U48" s="48"/>
      <c r="V48" s="48"/>
      <c r="W48" s="48"/>
      <c r="X48" s="48"/>
    </row>
    <row r="49" spans="18:24" x14ac:dyDescent="0.2">
      <c r="R49" s="48"/>
      <c r="S49" s="48"/>
      <c r="T49" s="48"/>
      <c r="U49" s="48"/>
      <c r="V49" s="48"/>
      <c r="W49" s="48"/>
      <c r="X49" s="48"/>
    </row>
    <row r="50" spans="18:24" x14ac:dyDescent="0.2">
      <c r="R50" s="48"/>
      <c r="S50" s="48"/>
      <c r="T50" s="48"/>
      <c r="U50" s="48"/>
      <c r="V50" s="48"/>
      <c r="W50" s="48"/>
      <c r="X50" s="48"/>
    </row>
    <row r="51" spans="18:24" x14ac:dyDescent="0.2">
      <c r="R51" s="48"/>
      <c r="S51" s="48"/>
      <c r="T51" s="48"/>
      <c r="U51" s="48"/>
      <c r="V51" s="48"/>
      <c r="W51" s="48"/>
      <c r="X51" s="48"/>
    </row>
    <row r="52" spans="18:24" x14ac:dyDescent="0.2">
      <c r="R52" s="48"/>
      <c r="S52" s="48"/>
      <c r="T52" s="48"/>
      <c r="U52" s="48"/>
      <c r="V52" s="48"/>
      <c r="W52" s="48"/>
      <c r="X52" s="48"/>
    </row>
    <row r="53" spans="18:24" x14ac:dyDescent="0.2">
      <c r="R53" s="48"/>
      <c r="S53" s="48"/>
      <c r="T53" s="48"/>
      <c r="U53" s="48"/>
      <c r="V53" s="48"/>
      <c r="W53" s="48"/>
      <c r="X53" s="48"/>
    </row>
    <row r="54" spans="18:24" x14ac:dyDescent="0.2">
      <c r="R54" s="48"/>
      <c r="S54" s="48"/>
      <c r="T54" s="48"/>
      <c r="U54" s="48"/>
      <c r="V54" s="48"/>
      <c r="W54" s="48"/>
      <c r="X54" s="48"/>
    </row>
  </sheetData>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EB4DAE-EC79-0044-9565-B0047975BEA0}">
  <sheetPr>
    <tabColor theme="7" tint="0.79998168889431442"/>
  </sheetPr>
  <dimension ref="A1:S81"/>
  <sheetViews>
    <sheetView topLeftCell="A23" zoomScale="130" zoomScaleNormal="130" workbookViewId="0">
      <selection activeCell="M46" sqref="M46"/>
    </sheetView>
  </sheetViews>
  <sheetFormatPr baseColWidth="10" defaultRowHeight="16" x14ac:dyDescent="0.2"/>
  <cols>
    <col min="11" max="11" width="12.6640625" customWidth="1"/>
    <col min="13" max="13" width="39" bestFit="1" customWidth="1"/>
    <col min="14" max="17" width="11.6640625" customWidth="1"/>
  </cols>
  <sheetData>
    <row r="1" spans="1:18" x14ac:dyDescent="0.2">
      <c r="M1" s="165" t="s">
        <v>186</v>
      </c>
    </row>
    <row r="3" spans="1:18" x14ac:dyDescent="0.2">
      <c r="M3" s="166"/>
      <c r="N3" s="167">
        <v>2019</v>
      </c>
      <c r="O3" s="167">
        <v>2018</v>
      </c>
      <c r="P3" s="167">
        <v>2017</v>
      </c>
      <c r="Q3" s="167">
        <v>2016</v>
      </c>
    </row>
    <row r="4" spans="1:18" x14ac:dyDescent="0.2">
      <c r="M4" s="168" t="s">
        <v>187</v>
      </c>
      <c r="N4" s="169" t="s">
        <v>188</v>
      </c>
      <c r="O4" s="169" t="s">
        <v>189</v>
      </c>
      <c r="P4" s="169" t="s">
        <v>190</v>
      </c>
      <c r="Q4" s="169" t="s">
        <v>191</v>
      </c>
    </row>
    <row r="5" spans="1:18" x14ac:dyDescent="0.2">
      <c r="M5" s="166" t="s">
        <v>192</v>
      </c>
      <c r="N5" s="170">
        <v>1552.94</v>
      </c>
      <c r="O5" s="170">
        <v>1798.52</v>
      </c>
      <c r="P5" s="170">
        <v>1828.45</v>
      </c>
      <c r="Q5" s="170">
        <v>1892.23</v>
      </c>
    </row>
    <row r="6" spans="1:18" x14ac:dyDescent="0.2">
      <c r="M6" s="166" t="s">
        <v>193</v>
      </c>
      <c r="N6" s="170">
        <v>1102.04</v>
      </c>
      <c r="O6" s="170">
        <v>1140.3699999999999</v>
      </c>
      <c r="P6" s="170">
        <v>1131.1400000000001</v>
      </c>
      <c r="Q6" s="170">
        <v>1187.25</v>
      </c>
    </row>
    <row r="7" spans="1:18" x14ac:dyDescent="0.2">
      <c r="M7" s="166" t="s">
        <v>194</v>
      </c>
      <c r="N7" s="170">
        <v>586.20000000000005</v>
      </c>
      <c r="O7" s="170">
        <v>575.95000000000005</v>
      </c>
      <c r="P7" s="170">
        <v>578.84</v>
      </c>
      <c r="Q7" s="170">
        <v>578.83000000000004</v>
      </c>
    </row>
    <row r="8" spans="1:18" x14ac:dyDescent="0.2">
      <c r="M8" s="166" t="s">
        <v>56</v>
      </c>
      <c r="N8" s="170">
        <v>-188.09</v>
      </c>
      <c r="O8" s="170">
        <v>28.59</v>
      </c>
      <c r="P8" s="170">
        <v>60.94</v>
      </c>
      <c r="Q8" s="170">
        <v>75.209999999999994</v>
      </c>
      <c r="R8" s="51"/>
    </row>
    <row r="9" spans="1:18" x14ac:dyDescent="0.2">
      <c r="M9" s="166" t="s">
        <v>45</v>
      </c>
      <c r="N9" s="170">
        <v>13.29</v>
      </c>
      <c r="O9" s="170">
        <v>10.7</v>
      </c>
      <c r="P9" s="170">
        <v>15.68</v>
      </c>
      <c r="Q9" s="170">
        <v>12.04</v>
      </c>
    </row>
    <row r="10" spans="1:18" x14ac:dyDescent="0.2">
      <c r="M10" s="166" t="s">
        <v>195</v>
      </c>
      <c r="N10" s="170">
        <v>-201.38</v>
      </c>
      <c r="O10" s="170">
        <v>17.899999999999999</v>
      </c>
      <c r="P10" s="170">
        <v>45.26</v>
      </c>
      <c r="Q10" s="170">
        <v>63.16</v>
      </c>
    </row>
    <row r="11" spans="1:18" x14ac:dyDescent="0.2">
      <c r="M11" s="166" t="s">
        <v>196</v>
      </c>
      <c r="N11" s="170">
        <v>0</v>
      </c>
      <c r="O11" s="170">
        <v>6.59</v>
      </c>
      <c r="P11" s="170">
        <v>15.13</v>
      </c>
      <c r="Q11" s="170">
        <v>23.53</v>
      </c>
    </row>
    <row r="12" spans="1:18" x14ac:dyDescent="0.2">
      <c r="A12" s="11">
        <v>1</v>
      </c>
      <c r="B12" t="s">
        <v>449</v>
      </c>
      <c r="M12" s="171"/>
      <c r="N12" s="172"/>
      <c r="O12" s="172"/>
      <c r="P12" s="172"/>
      <c r="Q12" s="172"/>
    </row>
    <row r="13" spans="1:18" x14ac:dyDescent="0.2">
      <c r="A13" s="11"/>
      <c r="B13" t="s">
        <v>197</v>
      </c>
      <c r="M13" s="168" t="s">
        <v>59</v>
      </c>
      <c r="N13" s="173" t="s">
        <v>188</v>
      </c>
      <c r="O13" s="173" t="s">
        <v>189</v>
      </c>
      <c r="P13" s="173" t="s">
        <v>190</v>
      </c>
      <c r="Q13" s="173" t="s">
        <v>191</v>
      </c>
    </row>
    <row r="14" spans="1:18" x14ac:dyDescent="0.2">
      <c r="A14" s="11"/>
      <c r="B14" t="s">
        <v>198</v>
      </c>
      <c r="C14" s="48"/>
      <c r="F14" t="s">
        <v>199</v>
      </c>
      <c r="M14" s="166" t="s">
        <v>60</v>
      </c>
      <c r="N14" s="170">
        <v>54.88</v>
      </c>
      <c r="O14" s="170">
        <v>135.38</v>
      </c>
      <c r="P14" s="170">
        <v>154.46</v>
      </c>
      <c r="Q14" s="170">
        <v>115.22</v>
      </c>
    </row>
    <row r="15" spans="1:18" x14ac:dyDescent="0.2">
      <c r="A15" s="11"/>
      <c r="B15" t="s">
        <v>200</v>
      </c>
      <c r="F15" t="s">
        <v>201</v>
      </c>
      <c r="M15" s="166" t="s">
        <v>202</v>
      </c>
      <c r="N15" s="170">
        <v>21.19</v>
      </c>
      <c r="O15" s="170">
        <v>22.15</v>
      </c>
      <c r="P15" s="170">
        <v>22.95</v>
      </c>
      <c r="Q15" s="170">
        <v>22.64</v>
      </c>
    </row>
    <row r="16" spans="1:18" x14ac:dyDescent="0.2">
      <c r="A16" s="15">
        <v>2</v>
      </c>
      <c r="B16" t="s">
        <v>203</v>
      </c>
      <c r="M16" s="166" t="s">
        <v>62</v>
      </c>
      <c r="N16" s="170">
        <v>347.58</v>
      </c>
      <c r="O16" s="170">
        <v>347.44</v>
      </c>
      <c r="P16" s="170">
        <v>400.98</v>
      </c>
      <c r="Q16" s="170">
        <v>405.86</v>
      </c>
    </row>
    <row r="17" spans="1:17" x14ac:dyDescent="0.2">
      <c r="A17" s="16">
        <v>3</v>
      </c>
      <c r="B17" t="s">
        <v>204</v>
      </c>
      <c r="M17" s="166" t="s">
        <v>63</v>
      </c>
      <c r="N17" s="170">
        <v>49.88</v>
      </c>
      <c r="O17" s="170">
        <v>48.79</v>
      </c>
      <c r="P17" s="170">
        <v>31.61</v>
      </c>
      <c r="Q17" s="170">
        <v>31.18</v>
      </c>
    </row>
    <row r="18" spans="1:17" x14ac:dyDescent="0.2">
      <c r="A18" s="174">
        <v>4</v>
      </c>
      <c r="B18" t="s">
        <v>205</v>
      </c>
      <c r="M18" s="166" t="s">
        <v>206</v>
      </c>
      <c r="N18" s="170">
        <v>705.78</v>
      </c>
      <c r="O18" s="170">
        <v>733.24</v>
      </c>
      <c r="P18" s="170">
        <v>697.03</v>
      </c>
      <c r="Q18" s="170">
        <v>689.39</v>
      </c>
    </row>
    <row r="19" spans="1:17" x14ac:dyDescent="0.2">
      <c r="A19" s="18">
        <v>5</v>
      </c>
      <c r="B19" t="s">
        <v>207</v>
      </c>
      <c r="M19" s="166" t="s">
        <v>208</v>
      </c>
      <c r="N19" s="175">
        <v>556.42999999999995</v>
      </c>
      <c r="O19" s="175">
        <v>554.48</v>
      </c>
      <c r="P19" s="175">
        <v>505.56</v>
      </c>
      <c r="Q19" s="175">
        <v>481.76</v>
      </c>
    </row>
    <row r="20" spans="1:17" x14ac:dyDescent="0.2">
      <c r="A20" s="19">
        <v>6</v>
      </c>
      <c r="B20" t="s">
        <v>209</v>
      </c>
      <c r="M20" s="166" t="s">
        <v>210</v>
      </c>
      <c r="N20" s="170">
        <v>33.409999999999997</v>
      </c>
      <c r="O20" s="170">
        <v>39.79</v>
      </c>
      <c r="P20" s="170">
        <v>41.62</v>
      </c>
      <c r="Q20" s="170">
        <v>36.659999999999997</v>
      </c>
    </row>
    <row r="21" spans="1:17" x14ac:dyDescent="0.2">
      <c r="M21" s="166" t="s">
        <v>41</v>
      </c>
      <c r="N21" s="170">
        <v>656.29</v>
      </c>
      <c r="O21" s="170">
        <v>772.32</v>
      </c>
      <c r="P21" s="170">
        <v>843.08</v>
      </c>
      <c r="Q21" s="170">
        <v>819.19</v>
      </c>
    </row>
    <row r="22" spans="1:17" x14ac:dyDescent="0.2">
      <c r="M22" s="166" t="s">
        <v>42</v>
      </c>
      <c r="N22" s="170">
        <v>121.97</v>
      </c>
      <c r="O22" s="170">
        <v>71.28</v>
      </c>
      <c r="P22" s="170">
        <v>68.98</v>
      </c>
      <c r="Q22" s="170">
        <v>72.569999999999993</v>
      </c>
    </row>
    <row r="23" spans="1:17" x14ac:dyDescent="0.2">
      <c r="M23" s="166" t="s">
        <v>64</v>
      </c>
      <c r="N23" s="170">
        <v>77.290000000000006</v>
      </c>
      <c r="O23" s="170">
        <v>73.099999999999994</v>
      </c>
      <c r="P23" s="170">
        <v>97.39</v>
      </c>
      <c r="Q23" s="170">
        <v>70.03</v>
      </c>
    </row>
    <row r="24" spans="1:17" x14ac:dyDescent="0.2">
      <c r="M24" s="166" t="s">
        <v>211</v>
      </c>
      <c r="N24" s="170">
        <v>2</v>
      </c>
      <c r="O24" s="170">
        <v>2</v>
      </c>
      <c r="P24" s="170">
        <v>2</v>
      </c>
      <c r="Q24" s="170">
        <v>2</v>
      </c>
    </row>
    <row r="25" spans="1:17" x14ac:dyDescent="0.2">
      <c r="M25" s="166" t="s">
        <v>212</v>
      </c>
      <c r="N25" s="170">
        <v>68.2</v>
      </c>
      <c r="O25" s="170">
        <v>90.75</v>
      </c>
      <c r="P25" s="170">
        <v>122.93</v>
      </c>
      <c r="Q25" s="170">
        <v>102.09</v>
      </c>
    </row>
    <row r="26" spans="1:17" x14ac:dyDescent="0.2">
      <c r="M26" s="166" t="s">
        <v>213</v>
      </c>
      <c r="N26" s="170">
        <v>245.62</v>
      </c>
      <c r="O26" s="170">
        <v>197.91</v>
      </c>
      <c r="P26" s="170">
        <v>199.08</v>
      </c>
      <c r="Q26" s="170">
        <v>200.25</v>
      </c>
    </row>
    <row r="27" spans="1:17" x14ac:dyDescent="0.2">
      <c r="A27" s="20">
        <v>7</v>
      </c>
      <c r="B27" t="s">
        <v>214</v>
      </c>
      <c r="M27" s="166" t="s">
        <v>215</v>
      </c>
      <c r="N27" s="170">
        <v>51.67</v>
      </c>
      <c r="O27" s="170">
        <v>59.71</v>
      </c>
      <c r="P27" s="170">
        <v>60.67</v>
      </c>
      <c r="Q27" s="170">
        <v>87.49</v>
      </c>
    </row>
    <row r="28" spans="1:17" x14ac:dyDescent="0.2">
      <c r="A28" s="21">
        <v>8</v>
      </c>
      <c r="B28" t="s">
        <v>216</v>
      </c>
      <c r="M28" s="166" t="s">
        <v>44</v>
      </c>
      <c r="N28" s="176">
        <v>566.76</v>
      </c>
      <c r="O28" s="176">
        <v>494.75</v>
      </c>
      <c r="P28" s="176">
        <v>551.04999999999995</v>
      </c>
      <c r="Q28" s="176">
        <v>534.42999999999995</v>
      </c>
    </row>
    <row r="29" spans="1:17" x14ac:dyDescent="0.2">
      <c r="A29" s="22">
        <v>9</v>
      </c>
      <c r="B29" t="s">
        <v>217</v>
      </c>
      <c r="M29" s="166" t="s">
        <v>218</v>
      </c>
      <c r="N29" s="177"/>
      <c r="O29" s="177"/>
      <c r="P29" s="177"/>
      <c r="Q29" s="177"/>
    </row>
    <row r="30" spans="1:17" x14ac:dyDescent="0.2">
      <c r="A30" s="25">
        <v>10</v>
      </c>
      <c r="B30" t="s">
        <v>219</v>
      </c>
      <c r="M30" s="166" t="s">
        <v>220</v>
      </c>
      <c r="N30" s="178"/>
      <c r="O30" s="178"/>
      <c r="P30" s="178"/>
      <c r="Q30" s="178"/>
    </row>
    <row r="31" spans="1:17" x14ac:dyDescent="0.2">
      <c r="A31" s="31">
        <v>11</v>
      </c>
      <c r="B31" t="s">
        <v>221</v>
      </c>
      <c r="M31" s="166" t="s">
        <v>48</v>
      </c>
      <c r="N31" s="179"/>
      <c r="O31" s="179"/>
      <c r="P31" s="179"/>
      <c r="Q31" s="179"/>
    </row>
    <row r="32" spans="1:17" x14ac:dyDescent="0.2">
      <c r="A32" s="180">
        <v>12</v>
      </c>
      <c r="B32" t="s">
        <v>222</v>
      </c>
      <c r="M32" s="166" t="s">
        <v>223</v>
      </c>
      <c r="N32" s="181"/>
      <c r="O32" s="181"/>
      <c r="P32" s="181"/>
      <c r="Q32" s="181"/>
    </row>
    <row r="33" spans="1:19" x14ac:dyDescent="0.2">
      <c r="A33" s="180"/>
      <c r="B33" t="s">
        <v>224</v>
      </c>
      <c r="M33" s="166" t="s">
        <v>225</v>
      </c>
      <c r="N33" s="182"/>
      <c r="O33" s="182"/>
      <c r="P33" s="182"/>
      <c r="Q33" s="182"/>
    </row>
    <row r="34" spans="1:19" x14ac:dyDescent="0.2">
      <c r="A34" s="183">
        <v>13</v>
      </c>
      <c r="B34" t="s">
        <v>226</v>
      </c>
      <c r="M34" s="166" t="s">
        <v>227</v>
      </c>
      <c r="N34" s="184"/>
      <c r="O34" s="184"/>
      <c r="P34" s="184"/>
      <c r="Q34" s="184"/>
    </row>
    <row r="35" spans="1:19" x14ac:dyDescent="0.2">
      <c r="A35" s="183"/>
      <c r="B35" t="s">
        <v>228</v>
      </c>
      <c r="M35" s="166" t="s">
        <v>229</v>
      </c>
      <c r="N35" s="185"/>
      <c r="O35" s="185"/>
      <c r="P35" s="185"/>
      <c r="Q35" s="185"/>
    </row>
    <row r="36" spans="1:19" x14ac:dyDescent="0.2">
      <c r="A36" s="151">
        <v>14</v>
      </c>
      <c r="B36" t="s">
        <v>230</v>
      </c>
      <c r="M36" s="166" t="s">
        <v>231</v>
      </c>
      <c r="N36" s="186"/>
      <c r="O36" s="186"/>
      <c r="P36" s="186"/>
      <c r="Q36" s="186"/>
    </row>
    <row r="37" spans="1:19" x14ac:dyDescent="0.2">
      <c r="A37" s="16">
        <v>15</v>
      </c>
      <c r="B37" t="s">
        <v>450</v>
      </c>
      <c r="M37" s="166" t="s">
        <v>232</v>
      </c>
      <c r="N37" s="187"/>
      <c r="O37" s="187"/>
      <c r="P37" s="187"/>
      <c r="Q37" s="187"/>
    </row>
    <row r="38" spans="1:19" x14ac:dyDescent="0.2">
      <c r="A38" s="16"/>
      <c r="B38" t="s">
        <v>233</v>
      </c>
      <c r="M38" s="166" t="s">
        <v>234</v>
      </c>
      <c r="N38" s="188"/>
      <c r="O38" s="188"/>
      <c r="P38" s="188"/>
      <c r="Q38" s="188"/>
    </row>
    <row r="39" spans="1:19" x14ac:dyDescent="0.2">
      <c r="A39" s="16"/>
      <c r="B39" t="s">
        <v>235</v>
      </c>
    </row>
    <row r="40" spans="1:19" x14ac:dyDescent="0.2">
      <c r="A40" s="16"/>
      <c r="B40" t="s">
        <v>236</v>
      </c>
    </row>
    <row r="41" spans="1:19" x14ac:dyDescent="0.2">
      <c r="A41" s="16"/>
      <c r="B41" t="s">
        <v>237</v>
      </c>
    </row>
    <row r="47" spans="1:19" ht="16" customHeight="1" x14ac:dyDescent="0.2"/>
    <row r="48" spans="1:19" x14ac:dyDescent="0.2">
      <c r="L48" s="189"/>
      <c r="M48" s="299"/>
      <c r="N48" s="299"/>
      <c r="O48" s="299"/>
      <c r="P48" s="299"/>
      <c r="Q48" s="299"/>
      <c r="R48" s="299"/>
      <c r="S48" s="299"/>
    </row>
    <row r="49" spans="1:19" x14ac:dyDescent="0.2">
      <c r="L49" s="189"/>
      <c r="M49" s="299"/>
      <c r="N49" s="299"/>
      <c r="O49" s="299"/>
      <c r="P49" s="299"/>
      <c r="Q49" s="299"/>
      <c r="R49" s="299"/>
      <c r="S49" s="299"/>
    </row>
    <row r="50" spans="1:19" x14ac:dyDescent="0.2">
      <c r="A50" s="47">
        <v>16</v>
      </c>
      <c r="B50" t="s">
        <v>238</v>
      </c>
      <c r="L50" s="189"/>
      <c r="M50" s="299"/>
      <c r="N50" s="299"/>
      <c r="O50" s="299"/>
      <c r="P50" s="299"/>
      <c r="Q50" s="299"/>
      <c r="R50" s="299"/>
      <c r="S50" s="299"/>
    </row>
    <row r="51" spans="1:19" x14ac:dyDescent="0.2">
      <c r="A51" s="47"/>
      <c r="B51" t="s">
        <v>239</v>
      </c>
      <c r="L51" s="189"/>
      <c r="M51" s="12"/>
      <c r="N51" s="12"/>
      <c r="O51" s="12"/>
      <c r="P51" s="12"/>
      <c r="Q51" s="12"/>
      <c r="R51" s="12"/>
      <c r="S51" s="12"/>
    </row>
    <row r="52" spans="1:19" x14ac:dyDescent="0.2">
      <c r="A52" s="153">
        <v>17</v>
      </c>
      <c r="B52" t="s">
        <v>240</v>
      </c>
      <c r="L52" s="3"/>
      <c r="M52" s="280"/>
    </row>
    <row r="53" spans="1:19" x14ac:dyDescent="0.2">
      <c r="A53" s="153"/>
      <c r="B53" t="s">
        <v>241</v>
      </c>
      <c r="L53" s="3"/>
      <c r="M53" s="280"/>
    </row>
    <row r="54" spans="1:19" x14ac:dyDescent="0.2">
      <c r="A54" s="155">
        <v>18</v>
      </c>
      <c r="B54" t="s">
        <v>242</v>
      </c>
      <c r="L54" s="3"/>
      <c r="M54" s="280"/>
    </row>
    <row r="55" spans="1:19" x14ac:dyDescent="0.2">
      <c r="A55" s="155"/>
      <c r="B55" t="s">
        <v>243</v>
      </c>
      <c r="L55" s="3"/>
      <c r="M55" s="280"/>
    </row>
    <row r="56" spans="1:19" x14ac:dyDescent="0.2">
      <c r="A56" s="66">
        <v>19</v>
      </c>
      <c r="B56" t="s">
        <v>244</v>
      </c>
      <c r="M56" s="280"/>
    </row>
    <row r="57" spans="1:19" x14ac:dyDescent="0.2">
      <c r="A57" s="66"/>
      <c r="B57" t="s">
        <v>241</v>
      </c>
      <c r="M57" s="280"/>
    </row>
    <row r="58" spans="1:19" x14ac:dyDescent="0.2">
      <c r="L58" s="3"/>
      <c r="M58" s="280"/>
    </row>
    <row r="60" spans="1:19" x14ac:dyDescent="0.2">
      <c r="M60" s="51"/>
    </row>
    <row r="62" spans="1:19" x14ac:dyDescent="0.2">
      <c r="M62" s="299"/>
      <c r="N62" s="299"/>
      <c r="O62" s="299"/>
      <c r="P62" s="299"/>
      <c r="Q62" s="299"/>
      <c r="R62" s="299"/>
      <c r="S62" s="299"/>
    </row>
    <row r="63" spans="1:19" x14ac:dyDescent="0.2">
      <c r="M63" s="299"/>
      <c r="N63" s="299"/>
      <c r="O63" s="299"/>
      <c r="P63" s="299"/>
      <c r="Q63" s="299"/>
      <c r="R63" s="299"/>
      <c r="S63" s="299"/>
    </row>
    <row r="64" spans="1:19" x14ac:dyDescent="0.2">
      <c r="M64" s="299"/>
      <c r="N64" s="299"/>
      <c r="O64" s="299"/>
      <c r="P64" s="299"/>
      <c r="Q64" s="299"/>
      <c r="R64" s="299"/>
      <c r="S64" s="299"/>
    </row>
    <row r="65" spans="1:19" x14ac:dyDescent="0.2">
      <c r="A65" s="52">
        <v>20</v>
      </c>
      <c r="B65" t="s">
        <v>245</v>
      </c>
      <c r="N65" s="51"/>
    </row>
    <row r="66" spans="1:19" x14ac:dyDescent="0.2">
      <c r="N66" s="51"/>
    </row>
    <row r="67" spans="1:19" x14ac:dyDescent="0.2">
      <c r="N67" s="51"/>
    </row>
    <row r="69" spans="1:19" x14ac:dyDescent="0.2">
      <c r="M69" s="51"/>
    </row>
    <row r="71" spans="1:19" x14ac:dyDescent="0.2">
      <c r="M71" s="299"/>
      <c r="N71" s="299"/>
      <c r="O71" s="299"/>
      <c r="P71" s="299"/>
      <c r="Q71" s="299"/>
      <c r="R71" s="299"/>
      <c r="S71" s="299"/>
    </row>
    <row r="72" spans="1:19" x14ac:dyDescent="0.2">
      <c r="M72" s="299"/>
      <c r="N72" s="299"/>
      <c r="O72" s="299"/>
      <c r="P72" s="299"/>
      <c r="Q72" s="299"/>
      <c r="R72" s="299"/>
      <c r="S72" s="299"/>
    </row>
    <row r="73" spans="1:19" x14ac:dyDescent="0.2">
      <c r="M73" s="299"/>
      <c r="N73" s="299"/>
      <c r="O73" s="299"/>
      <c r="P73" s="299"/>
      <c r="Q73" s="299"/>
      <c r="R73" s="299"/>
      <c r="S73" s="299"/>
    </row>
    <row r="74" spans="1:19" x14ac:dyDescent="0.2">
      <c r="N74" s="51"/>
    </row>
    <row r="75" spans="1:19" x14ac:dyDescent="0.2">
      <c r="N75" s="51"/>
    </row>
    <row r="76" spans="1:19" x14ac:dyDescent="0.2">
      <c r="N76" s="51"/>
    </row>
    <row r="81" spans="12:12" x14ac:dyDescent="0.2">
      <c r="L81" s="281"/>
    </row>
  </sheetData>
  <mergeCells count="3">
    <mergeCell ref="M48:S50"/>
    <mergeCell ref="M62:S64"/>
    <mergeCell ref="M71:S73"/>
  </mergeCells>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0AF14E-4D0E-A44C-B1C8-4E41572C42B0}">
  <sheetPr>
    <tabColor theme="7" tint="0.79998168889431442"/>
  </sheetPr>
  <dimension ref="A8:I44"/>
  <sheetViews>
    <sheetView zoomScale="125" zoomScaleNormal="125" zoomScalePageLayoutView="125" workbookViewId="0">
      <selection activeCell="F29" sqref="F29"/>
    </sheetView>
  </sheetViews>
  <sheetFormatPr baseColWidth="10" defaultRowHeight="16" x14ac:dyDescent="0.2"/>
  <cols>
    <col min="2" max="2" width="55.5" bestFit="1" customWidth="1"/>
    <col min="3" max="3" width="11.83203125" bestFit="1" customWidth="1"/>
    <col min="4" max="5" width="11.6640625" bestFit="1" customWidth="1"/>
  </cols>
  <sheetData>
    <row r="8" spans="2:7" x14ac:dyDescent="0.2">
      <c r="B8" s="129" t="s">
        <v>133</v>
      </c>
      <c r="C8" s="130" t="s">
        <v>134</v>
      </c>
      <c r="D8" s="130" t="s">
        <v>135</v>
      </c>
      <c r="E8" s="130" t="s">
        <v>136</v>
      </c>
    </row>
    <row r="9" spans="2:7" x14ac:dyDescent="0.2">
      <c r="B9" s="131" t="s">
        <v>137</v>
      </c>
      <c r="C9" s="132"/>
      <c r="D9" s="132"/>
      <c r="E9" s="132"/>
    </row>
    <row r="10" spans="2:7" x14ac:dyDescent="0.2">
      <c r="B10" s="132" t="s">
        <v>138</v>
      </c>
      <c r="C10" s="133">
        <v>5579</v>
      </c>
      <c r="D10" s="133">
        <v>8155</v>
      </c>
      <c r="E10" s="133">
        <v>9740</v>
      </c>
      <c r="F10" s="37"/>
      <c r="G10" s="106"/>
    </row>
    <row r="11" spans="2:7" x14ac:dyDescent="0.2">
      <c r="B11" s="132" t="s">
        <v>61</v>
      </c>
      <c r="C11" s="133">
        <v>429</v>
      </c>
      <c r="D11" s="133">
        <v>0</v>
      </c>
      <c r="E11" s="133">
        <v>0</v>
      </c>
      <c r="F11" s="37"/>
      <c r="G11" s="106"/>
    </row>
    <row r="12" spans="2:7" x14ac:dyDescent="0.2">
      <c r="B12" s="132" t="s">
        <v>139</v>
      </c>
      <c r="C12" s="133">
        <v>232</v>
      </c>
      <c r="D12" s="133">
        <v>0</v>
      </c>
      <c r="E12" s="133">
        <v>493897</v>
      </c>
      <c r="F12" s="37"/>
      <c r="G12" s="106"/>
    </row>
    <row r="13" spans="2:7" x14ac:dyDescent="0.2">
      <c r="B13" s="132" t="s">
        <v>16</v>
      </c>
      <c r="C13" s="133">
        <v>69</v>
      </c>
      <c r="D13" s="133">
        <v>5037</v>
      </c>
      <c r="E13" s="133">
        <v>0</v>
      </c>
      <c r="F13" s="37"/>
      <c r="G13" s="106"/>
    </row>
    <row r="14" spans="2:7" x14ac:dyDescent="0.2">
      <c r="B14" s="132" t="s">
        <v>140</v>
      </c>
      <c r="C14" s="133">
        <v>7485</v>
      </c>
      <c r="D14" s="133">
        <v>65967</v>
      </c>
      <c r="E14" s="133">
        <v>5921</v>
      </c>
      <c r="F14" s="37"/>
      <c r="G14" s="106"/>
    </row>
    <row r="15" spans="2:7" x14ac:dyDescent="0.2">
      <c r="B15" s="132" t="s">
        <v>17</v>
      </c>
      <c r="C15" s="133">
        <v>300</v>
      </c>
      <c r="D15" s="133">
        <v>0</v>
      </c>
      <c r="E15" s="133">
        <v>0</v>
      </c>
      <c r="F15" s="37"/>
      <c r="G15" s="106"/>
    </row>
    <row r="16" spans="2:7" x14ac:dyDescent="0.2">
      <c r="B16" s="132" t="s">
        <v>141</v>
      </c>
      <c r="C16" s="133">
        <v>399</v>
      </c>
      <c r="D16" s="133">
        <v>7800</v>
      </c>
      <c r="E16" s="133">
        <v>350000</v>
      </c>
      <c r="F16" s="37"/>
      <c r="G16" s="106"/>
    </row>
    <row r="17" spans="1:9" x14ac:dyDescent="0.2">
      <c r="B17" s="132" t="s">
        <v>10</v>
      </c>
      <c r="C17" s="133">
        <v>10848</v>
      </c>
      <c r="D17" s="133">
        <v>52042</v>
      </c>
      <c r="E17" s="133">
        <v>130467</v>
      </c>
      <c r="F17" s="37"/>
      <c r="G17" s="106"/>
    </row>
    <row r="18" spans="1:9" x14ac:dyDescent="0.2">
      <c r="B18" s="134" t="s">
        <v>142</v>
      </c>
      <c r="C18" s="135"/>
      <c r="D18" s="135"/>
      <c r="E18" s="135"/>
      <c r="F18" s="37"/>
      <c r="G18" s="106"/>
    </row>
    <row r="19" spans="1:9" x14ac:dyDescent="0.2">
      <c r="B19" s="136" t="s">
        <v>143</v>
      </c>
      <c r="C19" s="135">
        <v>791</v>
      </c>
      <c r="D19" s="135">
        <v>1496</v>
      </c>
      <c r="E19" s="135">
        <v>0</v>
      </c>
      <c r="F19" s="37"/>
      <c r="G19" s="37"/>
      <c r="H19" s="37"/>
      <c r="I19" s="37"/>
    </row>
    <row r="20" spans="1:9" x14ac:dyDescent="0.2">
      <c r="B20" s="136" t="s">
        <v>118</v>
      </c>
      <c r="C20" s="135">
        <v>505</v>
      </c>
      <c r="D20" s="135">
        <v>888</v>
      </c>
      <c r="E20" s="135">
        <v>0</v>
      </c>
      <c r="F20" s="37"/>
      <c r="G20" s="37"/>
      <c r="H20" s="37"/>
      <c r="I20" s="37"/>
    </row>
    <row r="21" spans="1:9" x14ac:dyDescent="0.2">
      <c r="B21" s="136" t="s">
        <v>122</v>
      </c>
      <c r="C21" s="135">
        <v>20</v>
      </c>
      <c r="D21" s="135">
        <v>72</v>
      </c>
      <c r="E21" s="135">
        <v>3500</v>
      </c>
      <c r="F21" s="37"/>
      <c r="G21" s="37"/>
      <c r="H21" s="37"/>
      <c r="I21" s="37"/>
    </row>
    <row r="22" spans="1:9" x14ac:dyDescent="0.2">
      <c r="B22" s="136" t="s">
        <v>144</v>
      </c>
      <c r="C22" s="135">
        <v>-5</v>
      </c>
      <c r="D22" s="135">
        <v>-51</v>
      </c>
      <c r="E22" s="135">
        <v>5954</v>
      </c>
      <c r="F22" s="37"/>
      <c r="G22" s="37"/>
      <c r="H22" s="37"/>
      <c r="I22" s="37"/>
    </row>
    <row r="23" spans="1:9" x14ac:dyDescent="0.2">
      <c r="B23" s="136" t="s">
        <v>145</v>
      </c>
      <c r="C23" s="135">
        <v>51</v>
      </c>
      <c r="D23" s="135">
        <v>58</v>
      </c>
      <c r="E23" s="135">
        <v>77</v>
      </c>
      <c r="F23" s="37"/>
      <c r="G23" s="37"/>
      <c r="H23" s="37"/>
      <c r="I23" s="37"/>
    </row>
    <row r="26" spans="1:9" x14ac:dyDescent="0.2">
      <c r="A26" s="1" t="s">
        <v>146</v>
      </c>
    </row>
    <row r="27" spans="1:9" x14ac:dyDescent="0.2">
      <c r="A27" s="137">
        <v>1</v>
      </c>
      <c r="B27" t="s">
        <v>147</v>
      </c>
      <c r="C27" s="106"/>
      <c r="D27" s="106"/>
      <c r="E27" s="106"/>
    </row>
    <row r="28" spans="1:9" x14ac:dyDescent="0.2">
      <c r="A28" s="41">
        <v>2</v>
      </c>
      <c r="B28" t="s">
        <v>148</v>
      </c>
      <c r="C28" s="106"/>
      <c r="D28" s="106"/>
      <c r="E28" s="106"/>
    </row>
    <row r="29" spans="1:9" x14ac:dyDescent="0.2">
      <c r="A29" s="43">
        <v>3</v>
      </c>
      <c r="B29" t="s">
        <v>149</v>
      </c>
      <c r="C29" s="106"/>
      <c r="D29" s="106"/>
      <c r="E29" s="106"/>
    </row>
    <row r="30" spans="1:9" x14ac:dyDescent="0.2">
      <c r="A30" s="44">
        <v>4</v>
      </c>
      <c r="B30" t="s">
        <v>150</v>
      </c>
      <c r="C30" s="106"/>
      <c r="D30" s="106"/>
      <c r="E30" s="106"/>
    </row>
    <row r="31" spans="1:9" x14ac:dyDescent="0.2">
      <c r="A31" s="45">
        <v>5</v>
      </c>
      <c r="B31" t="s">
        <v>151</v>
      </c>
      <c r="C31" s="274"/>
      <c r="D31" s="274"/>
      <c r="E31" s="274"/>
    </row>
    <row r="32" spans="1:9" x14ac:dyDescent="0.2">
      <c r="A32" s="46">
        <v>6</v>
      </c>
      <c r="B32" t="s">
        <v>152</v>
      </c>
      <c r="C32" s="274"/>
      <c r="D32" s="274"/>
      <c r="E32" s="274"/>
    </row>
    <row r="33" spans="1:5" x14ac:dyDescent="0.2">
      <c r="A33" s="47">
        <v>7</v>
      </c>
      <c r="B33" t="s">
        <v>153</v>
      </c>
      <c r="C33" s="106"/>
      <c r="D33" s="106"/>
      <c r="E33" s="106"/>
    </row>
    <row r="34" spans="1:5" x14ac:dyDescent="0.2">
      <c r="C34" s="51"/>
      <c r="D34" s="51"/>
      <c r="E34" s="138"/>
    </row>
    <row r="35" spans="1:5" x14ac:dyDescent="0.2">
      <c r="A35" s="50">
        <v>9</v>
      </c>
      <c r="B35" t="s">
        <v>448</v>
      </c>
      <c r="C35" s="51"/>
      <c r="D35" s="51"/>
      <c r="E35" s="51"/>
    </row>
    <row r="36" spans="1:5" x14ac:dyDescent="0.2">
      <c r="A36" s="52">
        <v>10</v>
      </c>
      <c r="B36" t="s">
        <v>154</v>
      </c>
      <c r="C36" s="51"/>
      <c r="D36" s="51"/>
      <c r="E36" s="138"/>
    </row>
    <row r="37" spans="1:5" x14ac:dyDescent="0.2">
      <c r="A37" s="53">
        <v>11</v>
      </c>
      <c r="B37" t="s">
        <v>155</v>
      </c>
      <c r="C37" s="273"/>
      <c r="D37" s="273"/>
      <c r="E37" s="138"/>
    </row>
    <row r="44" spans="1:5" x14ac:dyDescent="0.2">
      <c r="A44" s="54">
        <v>12</v>
      </c>
      <c r="B44" t="s">
        <v>156</v>
      </c>
    </row>
  </sheetData>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0DF446-7835-B047-85B1-5773A021087A}">
  <sheetPr>
    <tabColor theme="7" tint="0.79998168889431442"/>
  </sheetPr>
  <dimension ref="A7:G51"/>
  <sheetViews>
    <sheetView zoomScale="125" zoomScaleNormal="125" zoomScalePageLayoutView="125" workbookViewId="0">
      <selection activeCell="D30" sqref="D30"/>
    </sheetView>
  </sheetViews>
  <sheetFormatPr baseColWidth="10" defaultRowHeight="16" x14ac:dyDescent="0.2"/>
  <cols>
    <col min="1" max="1" width="10.83203125" style="3"/>
    <col min="2" max="2" width="51" bestFit="1" customWidth="1"/>
    <col min="3" max="4" width="13.33203125" customWidth="1"/>
    <col min="6" max="6" width="51" bestFit="1" customWidth="1"/>
  </cols>
  <sheetData>
    <row r="7" spans="2:4" x14ac:dyDescent="0.2">
      <c r="B7" s="26" t="s">
        <v>247</v>
      </c>
      <c r="C7" s="27" t="s">
        <v>248</v>
      </c>
      <c r="D7" s="27" t="s">
        <v>249</v>
      </c>
    </row>
    <row r="8" spans="2:4" x14ac:dyDescent="0.2">
      <c r="B8" s="29" t="s">
        <v>250</v>
      </c>
      <c r="C8" s="190">
        <v>24.7</v>
      </c>
      <c r="D8" s="190">
        <v>61</v>
      </c>
    </row>
    <row r="9" spans="2:4" x14ac:dyDescent="0.2">
      <c r="B9" s="29" t="s">
        <v>251</v>
      </c>
      <c r="C9" s="190">
        <v>55.4</v>
      </c>
      <c r="D9" s="190">
        <v>288</v>
      </c>
    </row>
    <row r="10" spans="2:4" x14ac:dyDescent="0.2">
      <c r="B10" s="29" t="s">
        <v>252</v>
      </c>
      <c r="C10" s="190">
        <v>638.5</v>
      </c>
      <c r="D10" s="190">
        <v>1370</v>
      </c>
    </row>
    <row r="11" spans="2:4" x14ac:dyDescent="0.2">
      <c r="B11" s="29" t="s">
        <v>253</v>
      </c>
      <c r="C11" s="190">
        <v>215.8</v>
      </c>
      <c r="D11" s="190">
        <v>812</v>
      </c>
    </row>
    <row r="12" spans="2:4" x14ac:dyDescent="0.2">
      <c r="B12" s="29" t="s">
        <v>254</v>
      </c>
      <c r="C12" s="190">
        <v>30.3</v>
      </c>
      <c r="D12" s="190">
        <v>1175</v>
      </c>
    </row>
    <row r="13" spans="2:4" x14ac:dyDescent="0.2">
      <c r="B13" s="29" t="s">
        <v>255</v>
      </c>
      <c r="C13" s="190">
        <v>216.7</v>
      </c>
      <c r="D13" s="190">
        <v>100</v>
      </c>
    </row>
    <row r="14" spans="2:4" x14ac:dyDescent="0.2">
      <c r="B14" s="29" t="s">
        <v>17</v>
      </c>
      <c r="C14" s="190">
        <v>344.8</v>
      </c>
      <c r="D14" s="190">
        <v>869</v>
      </c>
    </row>
    <row r="15" spans="2:4" x14ac:dyDescent="0.2">
      <c r="B15" s="29" t="s">
        <v>256</v>
      </c>
      <c r="C15" s="190">
        <v>274.8</v>
      </c>
      <c r="D15" s="190">
        <v>755</v>
      </c>
    </row>
    <row r="16" spans="2:4" x14ac:dyDescent="0.2">
      <c r="B16" s="29" t="s">
        <v>257</v>
      </c>
      <c r="C16" s="190">
        <v>1.2</v>
      </c>
      <c r="D16" s="190">
        <v>260</v>
      </c>
    </row>
    <row r="17" spans="1:4" x14ac:dyDescent="0.2">
      <c r="B17" s="29" t="s">
        <v>258</v>
      </c>
      <c r="C17" s="190">
        <v>280.89999999999998</v>
      </c>
      <c r="D17" s="190">
        <v>817</v>
      </c>
    </row>
    <row r="18" spans="1:4" x14ac:dyDescent="0.2">
      <c r="B18" s="29" t="s">
        <v>259</v>
      </c>
      <c r="C18" s="190">
        <v>2274.9</v>
      </c>
      <c r="D18" s="190">
        <v>5811</v>
      </c>
    </row>
    <row r="19" spans="1:4" x14ac:dyDescent="0.2">
      <c r="B19" s="29" t="s">
        <v>260</v>
      </c>
      <c r="C19" s="190">
        <v>1900.9</v>
      </c>
      <c r="D19" s="190">
        <v>4134</v>
      </c>
    </row>
    <row r="20" spans="1:4" x14ac:dyDescent="0.2">
      <c r="B20" s="29" t="s">
        <v>261</v>
      </c>
      <c r="C20" s="190">
        <v>687</v>
      </c>
      <c r="D20" s="190">
        <v>1603</v>
      </c>
    </row>
    <row r="21" spans="1:4" x14ac:dyDescent="0.2">
      <c r="B21" s="29" t="s">
        <v>262</v>
      </c>
      <c r="C21" s="190">
        <v>2.6</v>
      </c>
      <c r="D21" s="190">
        <v>28</v>
      </c>
    </row>
    <row r="22" spans="1:4" x14ac:dyDescent="0.2">
      <c r="B22" s="29" t="s">
        <v>263</v>
      </c>
      <c r="C22" s="190">
        <v>0</v>
      </c>
      <c r="D22" s="190">
        <v>8</v>
      </c>
    </row>
    <row r="23" spans="1:4" x14ac:dyDescent="0.2">
      <c r="C23" s="191"/>
      <c r="D23" s="191"/>
    </row>
    <row r="24" spans="1:4" x14ac:dyDescent="0.2">
      <c r="A24" s="192" t="s">
        <v>264</v>
      </c>
    </row>
    <row r="25" spans="1:4" x14ac:dyDescent="0.2">
      <c r="A25" s="192"/>
      <c r="B25" s="171"/>
      <c r="C25" s="193" t="s">
        <v>248</v>
      </c>
      <c r="D25" s="193" t="s">
        <v>249</v>
      </c>
    </row>
    <row r="26" spans="1:4" x14ac:dyDescent="0.2">
      <c r="A26" s="194">
        <v>1</v>
      </c>
      <c r="B26" t="s">
        <v>265</v>
      </c>
      <c r="C26" s="42"/>
      <c r="D26" s="42"/>
    </row>
    <row r="27" spans="1:4" x14ac:dyDescent="0.2">
      <c r="A27" s="60">
        <v>2</v>
      </c>
      <c r="B27" t="s">
        <v>30</v>
      </c>
      <c r="C27" s="42"/>
      <c r="D27" s="42"/>
    </row>
    <row r="28" spans="1:4" x14ac:dyDescent="0.2">
      <c r="A28" s="195">
        <v>3</v>
      </c>
      <c r="B28" t="s">
        <v>266</v>
      </c>
      <c r="C28" s="42"/>
      <c r="D28" s="42"/>
    </row>
    <row r="29" spans="1:4" x14ac:dyDescent="0.2">
      <c r="A29" s="196">
        <v>4</v>
      </c>
      <c r="B29" t="s">
        <v>33</v>
      </c>
      <c r="C29" s="42"/>
      <c r="D29" s="42"/>
    </row>
    <row r="30" spans="1:4" x14ac:dyDescent="0.2">
      <c r="A30" s="59">
        <v>5</v>
      </c>
      <c r="B30" t="s">
        <v>267</v>
      </c>
      <c r="C30" s="42"/>
      <c r="D30" s="42"/>
    </row>
    <row r="31" spans="1:4" x14ac:dyDescent="0.2">
      <c r="A31" s="91">
        <v>6</v>
      </c>
      <c r="B31" t="s">
        <v>119</v>
      </c>
      <c r="C31" s="42"/>
      <c r="D31" s="42"/>
    </row>
    <row r="32" spans="1:4" x14ac:dyDescent="0.2">
      <c r="A32" s="107">
        <v>7</v>
      </c>
      <c r="B32" t="s">
        <v>268</v>
      </c>
      <c r="C32" s="42"/>
      <c r="D32" s="42"/>
    </row>
    <row r="33" spans="1:7" x14ac:dyDescent="0.2">
      <c r="A33" s="28">
        <v>8</v>
      </c>
      <c r="B33" t="s">
        <v>269</v>
      </c>
      <c r="C33" s="42"/>
      <c r="D33" s="42"/>
    </row>
    <row r="34" spans="1:7" x14ac:dyDescent="0.2">
      <c r="A34" s="88">
        <v>9</v>
      </c>
      <c r="B34" t="s">
        <v>125</v>
      </c>
      <c r="C34" s="42"/>
      <c r="D34" s="42"/>
    </row>
    <row r="36" spans="1:7" x14ac:dyDescent="0.2">
      <c r="A36" s="192" t="s">
        <v>270</v>
      </c>
    </row>
    <row r="37" spans="1:7" x14ac:dyDescent="0.2">
      <c r="B37" s="171"/>
      <c r="C37" s="193" t="s">
        <v>248</v>
      </c>
      <c r="D37" s="193" t="s">
        <v>249</v>
      </c>
    </row>
    <row r="38" spans="1:7" x14ac:dyDescent="0.2">
      <c r="A38" s="91">
        <v>10</v>
      </c>
      <c r="B38" t="s">
        <v>271</v>
      </c>
      <c r="C38" s="51"/>
      <c r="D38" s="51"/>
    </row>
    <row r="39" spans="1:7" x14ac:dyDescent="0.2">
      <c r="A39" s="59">
        <v>12</v>
      </c>
      <c r="B39" t="s">
        <v>49</v>
      </c>
      <c r="C39" s="51"/>
      <c r="D39" s="51"/>
    </row>
    <row r="40" spans="1:7" x14ac:dyDescent="0.2">
      <c r="A40" s="197">
        <v>13</v>
      </c>
      <c r="B40" t="s">
        <v>272</v>
      </c>
      <c r="C40" s="51"/>
      <c r="D40" s="51"/>
    </row>
    <row r="41" spans="1:7" x14ac:dyDescent="0.2">
      <c r="A41" s="85">
        <v>14</v>
      </c>
      <c r="B41" t="s">
        <v>273</v>
      </c>
      <c r="C41" s="51"/>
      <c r="D41" s="51"/>
    </row>
    <row r="42" spans="1:7" x14ac:dyDescent="0.2">
      <c r="A42" s="62">
        <v>15</v>
      </c>
      <c r="B42" t="s">
        <v>274</v>
      </c>
      <c r="C42" s="51"/>
      <c r="D42" s="51"/>
    </row>
    <row r="43" spans="1:7" x14ac:dyDescent="0.2">
      <c r="A43" s="198">
        <v>16</v>
      </c>
      <c r="B43" t="s">
        <v>438</v>
      </c>
      <c r="C43" s="51"/>
      <c r="D43" s="51"/>
    </row>
    <row r="44" spans="1:7" x14ac:dyDescent="0.2">
      <c r="A44" s="199">
        <v>17</v>
      </c>
      <c r="B44" t="s">
        <v>246</v>
      </c>
      <c r="C44" s="51"/>
      <c r="D44" s="51"/>
    </row>
    <row r="45" spans="1:7" x14ac:dyDescent="0.2">
      <c r="C45" s="51"/>
      <c r="D45" s="51"/>
    </row>
    <row r="46" spans="1:7" x14ac:dyDescent="0.2">
      <c r="A46" s="192" t="s">
        <v>275</v>
      </c>
    </row>
    <row r="47" spans="1:7" ht="51" x14ac:dyDescent="0.2">
      <c r="A47" s="60">
        <v>18</v>
      </c>
      <c r="B47" s="40" t="s">
        <v>276</v>
      </c>
      <c r="C47" s="4"/>
      <c r="D47" s="4"/>
      <c r="E47" s="4"/>
      <c r="F47" s="4"/>
      <c r="G47" s="4"/>
    </row>
    <row r="48" spans="1:7" x14ac:dyDescent="0.2">
      <c r="A48" s="88">
        <v>19</v>
      </c>
      <c r="B48" t="s">
        <v>277</v>
      </c>
    </row>
    <row r="49" spans="1:7" ht="17" x14ac:dyDescent="0.2">
      <c r="A49" s="200">
        <v>20</v>
      </c>
      <c r="B49" s="40" t="s">
        <v>278</v>
      </c>
    </row>
    <row r="50" spans="1:7" x14ac:dyDescent="0.2">
      <c r="A50" s="201">
        <v>21</v>
      </c>
      <c r="B50" t="s">
        <v>279</v>
      </c>
    </row>
    <row r="51" spans="1:7" ht="68" x14ac:dyDescent="0.2">
      <c r="A51" s="202">
        <v>22</v>
      </c>
      <c r="B51" s="40" t="s">
        <v>280</v>
      </c>
      <c r="C51" s="4"/>
      <c r="D51" s="4"/>
      <c r="E51" s="4"/>
      <c r="F51" s="4"/>
      <c r="G51" s="4"/>
    </row>
  </sheetData>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633A92-FC62-3746-ACC7-F3FDD30AB7E7}">
  <sheetPr>
    <tabColor theme="7" tint="0.79998168889431442"/>
  </sheetPr>
  <dimension ref="A3:O58"/>
  <sheetViews>
    <sheetView zoomScale="120" zoomScaleNormal="120" workbookViewId="0">
      <selection activeCell="L27" sqref="L27"/>
    </sheetView>
  </sheetViews>
  <sheetFormatPr baseColWidth="10" defaultRowHeight="16" x14ac:dyDescent="0.2"/>
  <cols>
    <col min="12" max="12" width="31.5" style="140" customWidth="1"/>
    <col min="13" max="13" width="10.83203125" style="140"/>
    <col min="15" max="15" width="11.5" bestFit="1" customWidth="1"/>
  </cols>
  <sheetData>
    <row r="3" spans="1:14" x14ac:dyDescent="0.2">
      <c r="L3" s="139" t="s">
        <v>157</v>
      </c>
    </row>
    <row r="5" spans="1:14" x14ac:dyDescent="0.2">
      <c r="L5" s="141" t="s">
        <v>158</v>
      </c>
      <c r="M5" s="142" t="s">
        <v>159</v>
      </c>
      <c r="N5" s="143" t="s">
        <v>160</v>
      </c>
    </row>
    <row r="6" spans="1:14" x14ac:dyDescent="0.2">
      <c r="L6" s="144" t="s">
        <v>52</v>
      </c>
      <c r="M6" s="145">
        <v>43281</v>
      </c>
      <c r="N6" s="146">
        <v>43281</v>
      </c>
    </row>
    <row r="7" spans="1:14" x14ac:dyDescent="0.2">
      <c r="L7" s="147" t="s">
        <v>39</v>
      </c>
      <c r="M7" s="148">
        <v>508233</v>
      </c>
      <c r="N7" s="149">
        <v>508233</v>
      </c>
    </row>
    <row r="8" spans="1:14" x14ac:dyDescent="0.2">
      <c r="L8" s="147" t="s">
        <v>41</v>
      </c>
      <c r="M8" s="148">
        <v>2216232</v>
      </c>
      <c r="N8" s="149">
        <v>2216232</v>
      </c>
    </row>
    <row r="9" spans="1:14" x14ac:dyDescent="0.2">
      <c r="L9" s="147" t="s">
        <v>43</v>
      </c>
      <c r="M9" s="148">
        <v>330969</v>
      </c>
      <c r="N9" s="149">
        <v>0</v>
      </c>
    </row>
    <row r="10" spans="1:14" x14ac:dyDescent="0.2">
      <c r="L10" s="147" t="s">
        <v>44</v>
      </c>
      <c r="M10" s="148">
        <v>1633815</v>
      </c>
      <c r="N10" s="149">
        <v>0</v>
      </c>
    </row>
    <row r="11" spans="1:14" x14ac:dyDescent="0.2">
      <c r="L11" s="147" t="s">
        <v>53</v>
      </c>
      <c r="M11" s="148">
        <v>421196</v>
      </c>
      <c r="N11" s="149">
        <v>421196</v>
      </c>
    </row>
    <row r="12" spans="1:14" x14ac:dyDescent="0.2">
      <c r="A12" s="81">
        <v>1</v>
      </c>
      <c r="B12" t="s">
        <v>161</v>
      </c>
      <c r="L12" s="147" t="s">
        <v>162</v>
      </c>
      <c r="M12" s="148">
        <v>97334</v>
      </c>
      <c r="N12" s="149">
        <v>97334</v>
      </c>
    </row>
    <row r="13" spans="1:14" x14ac:dyDescent="0.2">
      <c r="A13" s="150">
        <v>2</v>
      </c>
      <c r="B13" t="s">
        <v>163</v>
      </c>
      <c r="L13" s="147" t="s">
        <v>164</v>
      </c>
      <c r="M13" s="148">
        <v>270977</v>
      </c>
      <c r="N13" s="149">
        <v>270977</v>
      </c>
    </row>
    <row r="14" spans="1:14" x14ac:dyDescent="0.2">
      <c r="A14" s="41">
        <v>3</v>
      </c>
      <c r="B14" t="s">
        <v>165</v>
      </c>
      <c r="L14" s="147" t="s">
        <v>166</v>
      </c>
      <c r="M14" s="148">
        <v>150219</v>
      </c>
      <c r="N14" s="149">
        <v>150219</v>
      </c>
    </row>
    <row r="15" spans="1:14" x14ac:dyDescent="0.2">
      <c r="A15" s="151">
        <v>4</v>
      </c>
      <c r="B15" t="s">
        <v>167</v>
      </c>
      <c r="L15" s="147" t="s">
        <v>168</v>
      </c>
      <c r="M15" s="148">
        <v>150219</v>
      </c>
      <c r="N15" s="149">
        <v>150219</v>
      </c>
    </row>
    <row r="16" spans="1:14" x14ac:dyDescent="0.2">
      <c r="A16" s="16">
        <v>5</v>
      </c>
      <c r="B16" t="s">
        <v>169</v>
      </c>
      <c r="L16" s="147" t="s">
        <v>45</v>
      </c>
      <c r="M16" s="148">
        <v>18276</v>
      </c>
      <c r="N16" s="114"/>
    </row>
    <row r="17" spans="1:14" x14ac:dyDescent="0.2">
      <c r="A17" s="47">
        <v>6</v>
      </c>
      <c r="B17" t="s">
        <v>170</v>
      </c>
      <c r="L17" s="147" t="s">
        <v>46</v>
      </c>
      <c r="M17" s="148">
        <v>131943</v>
      </c>
      <c r="N17" s="152"/>
    </row>
    <row r="18" spans="1:14" x14ac:dyDescent="0.2">
      <c r="A18" s="153">
        <v>7</v>
      </c>
      <c r="B18" t="s">
        <v>171</v>
      </c>
      <c r="L18" s="147" t="s">
        <v>47</v>
      </c>
      <c r="M18" s="148">
        <v>11535</v>
      </c>
      <c r="N18" s="154"/>
    </row>
    <row r="19" spans="1:14" x14ac:dyDescent="0.2">
      <c r="A19" s="155">
        <v>8</v>
      </c>
      <c r="B19" t="s">
        <v>172</v>
      </c>
      <c r="L19" s="147" t="s">
        <v>48</v>
      </c>
      <c r="M19" s="148">
        <v>120408</v>
      </c>
      <c r="N19" s="156"/>
    </row>
    <row r="20" spans="1:14" x14ac:dyDescent="0.2">
      <c r="A20" s="66">
        <v>9</v>
      </c>
      <c r="B20" t="s">
        <v>173</v>
      </c>
    </row>
    <row r="21" spans="1:14" x14ac:dyDescent="0.2">
      <c r="A21" s="66"/>
      <c r="B21" t="s">
        <v>174</v>
      </c>
      <c r="L21" s="157"/>
      <c r="M21" s="157"/>
      <c r="N21" s="158"/>
    </row>
    <row r="22" spans="1:14" x14ac:dyDescent="0.2">
      <c r="A22" s="47">
        <v>10</v>
      </c>
      <c r="B22" t="s">
        <v>175</v>
      </c>
    </row>
    <row r="23" spans="1:14" x14ac:dyDescent="0.2">
      <c r="A23" s="22">
        <v>11</v>
      </c>
      <c r="B23" t="s">
        <v>176</v>
      </c>
      <c r="K23" s="3"/>
      <c r="M23" s="282"/>
    </row>
    <row r="24" spans="1:14" x14ac:dyDescent="0.2">
      <c r="A24" s="22"/>
      <c r="B24" t="s">
        <v>439</v>
      </c>
    </row>
    <row r="25" spans="1:14" x14ac:dyDescent="0.2">
      <c r="K25" s="3"/>
      <c r="M25" s="283"/>
    </row>
    <row r="27" spans="1:14" x14ac:dyDescent="0.2">
      <c r="M27" s="284"/>
    </row>
    <row r="29" spans="1:14" x14ac:dyDescent="0.2">
      <c r="M29" s="284"/>
    </row>
    <row r="31" spans="1:14" x14ac:dyDescent="0.2">
      <c r="K31" s="3"/>
      <c r="M31" s="284"/>
    </row>
    <row r="33" spans="1:15" x14ac:dyDescent="0.2">
      <c r="M33" s="284"/>
    </row>
    <row r="35" spans="1:15" x14ac:dyDescent="0.2">
      <c r="M35" s="284"/>
    </row>
    <row r="37" spans="1:15" x14ac:dyDescent="0.2">
      <c r="K37" s="285"/>
      <c r="M37" s="283"/>
    </row>
    <row r="38" spans="1:15" x14ac:dyDescent="0.2">
      <c r="A38" s="114">
        <v>12</v>
      </c>
      <c r="B38" t="s">
        <v>122</v>
      </c>
      <c r="M38" s="286"/>
    </row>
    <row r="39" spans="1:15" x14ac:dyDescent="0.2">
      <c r="A39" s="159">
        <v>13</v>
      </c>
      <c r="B39" t="s">
        <v>177</v>
      </c>
      <c r="M39" s="287"/>
    </row>
    <row r="40" spans="1:15" x14ac:dyDescent="0.2">
      <c r="A40" s="64">
        <v>14</v>
      </c>
      <c r="B40" t="s">
        <v>178</v>
      </c>
    </row>
    <row r="41" spans="1:15" x14ac:dyDescent="0.2">
      <c r="A41" s="160">
        <v>15</v>
      </c>
      <c r="B41" t="s">
        <v>125</v>
      </c>
      <c r="L41" s="283"/>
    </row>
    <row r="42" spans="1:15" x14ac:dyDescent="0.2">
      <c r="A42" s="161">
        <v>16</v>
      </c>
      <c r="B42" t="s">
        <v>179</v>
      </c>
    </row>
    <row r="43" spans="1:15" x14ac:dyDescent="0.2">
      <c r="A43" s="162">
        <v>17</v>
      </c>
      <c r="B43" t="s">
        <v>180</v>
      </c>
      <c r="L43" s="284"/>
    </row>
    <row r="44" spans="1:15" x14ac:dyDescent="0.2">
      <c r="A44" s="163">
        <v>18</v>
      </c>
      <c r="B44" t="s">
        <v>181</v>
      </c>
    </row>
    <row r="45" spans="1:15" x14ac:dyDescent="0.2">
      <c r="A45" s="163"/>
      <c r="B45" t="s">
        <v>182</v>
      </c>
      <c r="K45" s="3"/>
      <c r="O45" s="288"/>
    </row>
    <row r="46" spans="1:15" x14ac:dyDescent="0.2">
      <c r="A46" s="66">
        <v>19</v>
      </c>
      <c r="B46" t="s">
        <v>183</v>
      </c>
      <c r="K46" s="3"/>
    </row>
    <row r="47" spans="1:15" x14ac:dyDescent="0.2">
      <c r="A47" s="164">
        <v>20</v>
      </c>
      <c r="B47" t="s">
        <v>184</v>
      </c>
    </row>
    <row r="48" spans="1:15" x14ac:dyDescent="0.2">
      <c r="A48" s="164"/>
      <c r="B48" t="s">
        <v>185</v>
      </c>
      <c r="M48" s="286"/>
    </row>
    <row r="49" spans="1:11" s="140" customFormat="1" x14ac:dyDescent="0.2">
      <c r="A49" s="3"/>
      <c r="B49"/>
      <c r="C49"/>
      <c r="D49"/>
      <c r="E49"/>
      <c r="F49"/>
      <c r="G49"/>
      <c r="H49"/>
      <c r="I49"/>
      <c r="J49"/>
      <c r="K49"/>
    </row>
    <row r="50" spans="1:11" s="140" customFormat="1" x14ac:dyDescent="0.2">
      <c r="A50"/>
      <c r="B50"/>
      <c r="C50"/>
      <c r="D50"/>
      <c r="E50"/>
      <c r="F50"/>
      <c r="G50"/>
      <c r="H50"/>
      <c r="I50"/>
      <c r="J50"/>
      <c r="K50"/>
    </row>
    <row r="52" spans="1:11" s="140" customFormat="1" x14ac:dyDescent="0.2">
      <c r="A52"/>
      <c r="B52"/>
      <c r="C52"/>
      <c r="D52"/>
      <c r="E52"/>
      <c r="F52"/>
      <c r="G52"/>
      <c r="H52"/>
      <c r="I52"/>
      <c r="J52"/>
      <c r="K52"/>
    </row>
    <row r="53" spans="1:11" s="140" customFormat="1" x14ac:dyDescent="0.2">
      <c r="A53"/>
      <c r="B53"/>
      <c r="C53"/>
      <c r="D53"/>
      <c r="E53"/>
      <c r="F53"/>
      <c r="G53"/>
      <c r="H53"/>
      <c r="I53"/>
      <c r="J53"/>
      <c r="K53"/>
    </row>
    <row r="55" spans="1:11" s="140" customFormat="1" x14ac:dyDescent="0.2">
      <c r="A55"/>
      <c r="B55"/>
      <c r="C55"/>
      <c r="D55"/>
      <c r="E55"/>
      <c r="F55"/>
      <c r="G55"/>
      <c r="H55"/>
      <c r="I55"/>
      <c r="J55"/>
      <c r="K55"/>
    </row>
    <row r="57" spans="1:11" s="140" customFormat="1" x14ac:dyDescent="0.2">
      <c r="A57"/>
      <c r="B57"/>
      <c r="C57"/>
      <c r="D57"/>
      <c r="E57"/>
      <c r="F57"/>
      <c r="G57"/>
      <c r="H57"/>
      <c r="I57"/>
      <c r="J57"/>
      <c r="K57"/>
    </row>
    <row r="58" spans="1:11" s="140" customFormat="1" x14ac:dyDescent="0.2">
      <c r="A58"/>
      <c r="B58"/>
      <c r="C58"/>
      <c r="D58"/>
      <c r="E58"/>
      <c r="F58"/>
      <c r="G58"/>
      <c r="H58"/>
      <c r="I58"/>
      <c r="J58"/>
      <c r="K58"/>
    </row>
  </sheetData>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5212E8-C9DC-2943-99E4-D911B05B0AA7}">
  <sheetPr>
    <tabColor theme="7" tint="0.79998168889431442"/>
  </sheetPr>
  <dimension ref="A1:T98"/>
  <sheetViews>
    <sheetView zoomScale="120" zoomScaleNormal="120" zoomScalePageLayoutView="120" workbookViewId="0">
      <selection activeCell="I25" sqref="I25"/>
    </sheetView>
  </sheetViews>
  <sheetFormatPr baseColWidth="10" defaultRowHeight="16" x14ac:dyDescent="0.2"/>
  <cols>
    <col min="9" max="9" width="18.83203125" customWidth="1"/>
    <col min="10" max="10" width="37.1640625" customWidth="1"/>
    <col min="11" max="20" width="10" style="140" customWidth="1"/>
  </cols>
  <sheetData>
    <row r="1" spans="1:20" x14ac:dyDescent="0.2">
      <c r="J1" s="1" t="s">
        <v>281</v>
      </c>
    </row>
    <row r="2" spans="1:20" x14ac:dyDescent="0.2">
      <c r="J2" s="1"/>
    </row>
    <row r="3" spans="1:20" x14ac:dyDescent="0.2">
      <c r="J3" s="49"/>
      <c r="K3" s="300" t="s">
        <v>282</v>
      </c>
      <c r="L3" s="300"/>
      <c r="M3" s="300"/>
      <c r="N3" s="300"/>
      <c r="O3" s="300"/>
      <c r="P3" s="301" t="s">
        <v>283</v>
      </c>
      <c r="Q3" s="301"/>
      <c r="R3" s="301"/>
      <c r="S3" s="301"/>
      <c r="T3" s="301"/>
    </row>
    <row r="4" spans="1:20" x14ac:dyDescent="0.2">
      <c r="J4" s="49"/>
      <c r="K4" s="203"/>
      <c r="L4" s="203"/>
      <c r="M4" s="203"/>
      <c r="N4" s="203"/>
      <c r="O4" s="203"/>
      <c r="P4" s="204"/>
      <c r="Q4" s="204"/>
      <c r="R4" s="204"/>
      <c r="S4" s="204"/>
      <c r="T4" s="204"/>
    </row>
    <row r="5" spans="1:20" x14ac:dyDescent="0.2">
      <c r="J5" s="205" t="s">
        <v>284</v>
      </c>
      <c r="K5" s="206">
        <v>43039</v>
      </c>
      <c r="L5" s="206">
        <v>42947</v>
      </c>
      <c r="M5" s="206">
        <v>42855</v>
      </c>
      <c r="N5" s="206">
        <v>42766</v>
      </c>
      <c r="O5" s="207">
        <v>42674</v>
      </c>
      <c r="P5" s="208">
        <v>43039</v>
      </c>
      <c r="Q5" s="208">
        <v>42947</v>
      </c>
      <c r="R5" s="208">
        <v>42855</v>
      </c>
      <c r="S5" s="208">
        <v>42766</v>
      </c>
      <c r="T5" s="209">
        <v>42674</v>
      </c>
    </row>
    <row r="6" spans="1:20" x14ac:dyDescent="0.2">
      <c r="J6" s="210" t="s">
        <v>192</v>
      </c>
      <c r="K6" s="211">
        <v>140.85</v>
      </c>
      <c r="L6" s="211">
        <v>137.80000000000001</v>
      </c>
      <c r="M6" s="211">
        <v>2327.91</v>
      </c>
      <c r="N6" s="211">
        <v>451.88</v>
      </c>
      <c r="O6" s="212">
        <v>131.33000000000001</v>
      </c>
      <c r="P6" s="213">
        <v>886</v>
      </c>
      <c r="Q6" s="213">
        <v>842</v>
      </c>
      <c r="R6" s="213">
        <v>2541</v>
      </c>
      <c r="S6" s="213">
        <v>1016</v>
      </c>
      <c r="T6" s="214">
        <v>778</v>
      </c>
    </row>
    <row r="7" spans="1:20" x14ac:dyDescent="0.2">
      <c r="J7" s="210" t="s">
        <v>193</v>
      </c>
      <c r="K7" s="211">
        <v>238.24</v>
      </c>
      <c r="L7" s="211">
        <v>225.26</v>
      </c>
      <c r="M7" s="211">
        <v>795.67</v>
      </c>
      <c r="N7" s="211">
        <v>360.43</v>
      </c>
      <c r="O7" s="212">
        <v>225.83</v>
      </c>
      <c r="P7" s="213">
        <v>196</v>
      </c>
      <c r="Q7" s="213">
        <v>183</v>
      </c>
      <c r="R7" s="213">
        <v>237</v>
      </c>
      <c r="S7" s="213">
        <v>206</v>
      </c>
      <c r="T7" s="214">
        <v>183</v>
      </c>
    </row>
    <row r="8" spans="1:20" x14ac:dyDescent="0.2">
      <c r="J8" s="210" t="s">
        <v>285</v>
      </c>
      <c r="K8" s="211">
        <v>103.56</v>
      </c>
      <c r="L8" s="211">
        <v>82.73</v>
      </c>
      <c r="M8" s="211">
        <v>281.33</v>
      </c>
      <c r="N8" s="211">
        <v>200.91</v>
      </c>
      <c r="O8" s="211">
        <v>97.68</v>
      </c>
      <c r="P8" s="213">
        <v>453</v>
      </c>
      <c r="Q8" s="213">
        <v>406</v>
      </c>
      <c r="R8" s="213">
        <v>613</v>
      </c>
      <c r="S8" s="213">
        <v>545</v>
      </c>
      <c r="T8" s="213">
        <v>409</v>
      </c>
    </row>
    <row r="9" spans="1:20" x14ac:dyDescent="0.2">
      <c r="J9" s="210" t="s">
        <v>55</v>
      </c>
      <c r="K9" s="211">
        <v>0</v>
      </c>
      <c r="L9" s="211">
        <v>0</v>
      </c>
      <c r="M9" s="211">
        <v>0</v>
      </c>
      <c r="N9" s="211">
        <v>0</v>
      </c>
      <c r="O9" s="211">
        <v>0</v>
      </c>
      <c r="P9" s="213">
        <v>293</v>
      </c>
      <c r="Q9" s="213">
        <v>263</v>
      </c>
      <c r="R9" s="213">
        <v>246</v>
      </c>
      <c r="S9" s="213">
        <v>243</v>
      </c>
      <c r="T9" s="213">
        <v>246</v>
      </c>
    </row>
    <row r="10" spans="1:20" x14ac:dyDescent="0.2">
      <c r="A10" s="77">
        <v>1</v>
      </c>
      <c r="B10" t="s">
        <v>286</v>
      </c>
      <c r="J10" s="210" t="s">
        <v>56</v>
      </c>
      <c r="K10" s="211">
        <v>-216.01</v>
      </c>
      <c r="L10" s="211">
        <v>-185.16</v>
      </c>
      <c r="M10" s="211">
        <v>1233.52</v>
      </c>
      <c r="N10" s="211">
        <v>-124.79</v>
      </c>
      <c r="O10" s="211">
        <v>-208.02</v>
      </c>
      <c r="P10" s="213">
        <v>-57</v>
      </c>
      <c r="Q10" s="213">
        <v>-10</v>
      </c>
      <c r="R10" s="213">
        <v>1444</v>
      </c>
      <c r="S10" s="213">
        <v>22</v>
      </c>
      <c r="T10" s="213">
        <v>-61</v>
      </c>
    </row>
    <row r="11" spans="1:20" x14ac:dyDescent="0.2">
      <c r="A11" s="77"/>
      <c r="B11" t="s">
        <v>287</v>
      </c>
      <c r="J11" s="210" t="s">
        <v>288</v>
      </c>
      <c r="K11" s="211">
        <v>-0.18</v>
      </c>
      <c r="L11" s="211">
        <v>-0.27</v>
      </c>
      <c r="M11" s="211">
        <v>1.23</v>
      </c>
      <c r="N11" s="211">
        <v>0</v>
      </c>
      <c r="O11" s="211">
        <v>2.13</v>
      </c>
      <c r="P11" s="213">
        <v>1</v>
      </c>
      <c r="Q11" s="213">
        <v>-1</v>
      </c>
      <c r="R11" s="213">
        <v>1</v>
      </c>
      <c r="S11" s="213">
        <v>-2</v>
      </c>
      <c r="T11" s="213">
        <v>-3</v>
      </c>
    </row>
    <row r="12" spans="1:20" x14ac:dyDescent="0.2">
      <c r="A12" s="58">
        <v>2</v>
      </c>
      <c r="B12" t="s">
        <v>289</v>
      </c>
      <c r="J12" s="210" t="s">
        <v>46</v>
      </c>
      <c r="K12" s="211">
        <v>-236.26</v>
      </c>
      <c r="L12" s="211">
        <v>-205.22</v>
      </c>
      <c r="M12" s="211">
        <v>1211.9000000000001</v>
      </c>
      <c r="N12" s="211">
        <v>-150.6</v>
      </c>
      <c r="O12" s="211">
        <v>-228.47</v>
      </c>
      <c r="P12" s="213">
        <v>-59</v>
      </c>
      <c r="Q12" s="213">
        <v>-10</v>
      </c>
      <c r="R12" s="213">
        <v>1439</v>
      </c>
      <c r="S12" s="213">
        <v>10</v>
      </c>
      <c r="T12" s="213">
        <v>-72</v>
      </c>
    </row>
    <row r="13" spans="1:20" x14ac:dyDescent="0.2">
      <c r="A13" s="58"/>
      <c r="B13" t="s">
        <v>290</v>
      </c>
      <c r="C13" s="48"/>
      <c r="D13" t="s">
        <v>291</v>
      </c>
      <c r="J13" s="210" t="s">
        <v>48</v>
      </c>
      <c r="K13" s="211">
        <v>-153.57</v>
      </c>
      <c r="L13" s="211">
        <v>-130.57</v>
      </c>
      <c r="M13" s="211">
        <v>783.35</v>
      </c>
      <c r="N13" s="211">
        <v>-104.51</v>
      </c>
      <c r="O13" s="211">
        <v>-146.22</v>
      </c>
      <c r="P13" s="213">
        <v>-17</v>
      </c>
      <c r="Q13" s="213">
        <v>24</v>
      </c>
      <c r="R13" s="213">
        <v>964</v>
      </c>
      <c r="S13" s="213">
        <v>13</v>
      </c>
      <c r="T13" s="213">
        <v>-30</v>
      </c>
    </row>
    <row r="14" spans="1:20" x14ac:dyDescent="0.2">
      <c r="A14" s="58"/>
      <c r="B14" t="s">
        <v>292</v>
      </c>
      <c r="D14" t="s">
        <v>293</v>
      </c>
      <c r="J14" s="215"/>
      <c r="K14" s="216"/>
      <c r="L14" s="216"/>
      <c r="M14" s="216"/>
      <c r="N14" s="216"/>
      <c r="O14" s="216"/>
      <c r="P14" s="217"/>
      <c r="Q14" s="217"/>
      <c r="R14" s="217"/>
      <c r="S14" s="217"/>
      <c r="T14" s="217"/>
    </row>
    <row r="15" spans="1:20" x14ac:dyDescent="0.2">
      <c r="J15" s="205" t="s">
        <v>59</v>
      </c>
      <c r="K15" s="206">
        <v>43039</v>
      </c>
      <c r="L15" s="206">
        <v>42947</v>
      </c>
      <c r="M15" s="206">
        <v>42855</v>
      </c>
      <c r="N15" s="206">
        <v>42766</v>
      </c>
      <c r="O15" s="206">
        <v>42674</v>
      </c>
      <c r="P15" s="208">
        <v>43039</v>
      </c>
      <c r="Q15" s="208">
        <v>42947</v>
      </c>
      <c r="R15" s="208">
        <v>42855</v>
      </c>
      <c r="S15" s="208">
        <v>42766</v>
      </c>
      <c r="T15" s="208">
        <v>42674</v>
      </c>
    </row>
    <row r="16" spans="1:20" x14ac:dyDescent="0.2">
      <c r="J16" s="210" t="s">
        <v>60</v>
      </c>
      <c r="K16" s="211">
        <v>181</v>
      </c>
      <c r="L16" s="211">
        <v>551.57000000000005</v>
      </c>
      <c r="M16" s="211">
        <v>1011.33</v>
      </c>
      <c r="N16" s="211">
        <v>221.17</v>
      </c>
      <c r="O16" s="211">
        <v>232.51</v>
      </c>
      <c r="P16" s="213">
        <v>777</v>
      </c>
      <c r="Q16" s="213">
        <v>777</v>
      </c>
      <c r="R16" s="213">
        <v>1593</v>
      </c>
      <c r="S16" s="213">
        <v>637</v>
      </c>
      <c r="T16" s="213">
        <v>605</v>
      </c>
    </row>
    <row r="17" spans="1:20" x14ac:dyDescent="0.2">
      <c r="J17" s="210" t="s">
        <v>294</v>
      </c>
      <c r="K17" s="211">
        <v>77.75</v>
      </c>
      <c r="L17" s="211">
        <v>91</v>
      </c>
      <c r="M17" s="211">
        <v>162.78</v>
      </c>
      <c r="N17" s="211">
        <v>825.9</v>
      </c>
      <c r="O17" s="211">
        <v>104.76</v>
      </c>
      <c r="P17" s="213">
        <v>177</v>
      </c>
      <c r="Q17" s="213">
        <v>166</v>
      </c>
      <c r="R17" s="213">
        <v>245</v>
      </c>
      <c r="S17" s="213">
        <v>562</v>
      </c>
      <c r="T17" s="213">
        <v>178</v>
      </c>
    </row>
    <row r="18" spans="1:20" x14ac:dyDescent="0.2">
      <c r="J18" s="210" t="s">
        <v>62</v>
      </c>
      <c r="K18" s="211">
        <v>0</v>
      </c>
      <c r="L18" s="211">
        <v>0</v>
      </c>
      <c r="M18" s="211">
        <v>0</v>
      </c>
      <c r="N18" s="211">
        <v>0</v>
      </c>
      <c r="O18" s="211">
        <v>0</v>
      </c>
      <c r="P18" s="213">
        <v>0</v>
      </c>
      <c r="Q18" s="213">
        <v>0</v>
      </c>
      <c r="R18" s="213">
        <v>0</v>
      </c>
      <c r="S18" s="213">
        <v>0</v>
      </c>
      <c r="T18" s="213">
        <v>0</v>
      </c>
    </row>
    <row r="19" spans="1:20" x14ac:dyDescent="0.2">
      <c r="J19" s="210" t="s">
        <v>63</v>
      </c>
      <c r="K19" s="211">
        <v>85.2</v>
      </c>
      <c r="L19" s="211">
        <v>74.78</v>
      </c>
      <c r="M19" s="211">
        <v>65.72</v>
      </c>
      <c r="N19" s="211">
        <v>85.6</v>
      </c>
      <c r="O19" s="211">
        <v>73.56</v>
      </c>
      <c r="P19" s="213">
        <v>142</v>
      </c>
      <c r="Q19" s="213">
        <v>100</v>
      </c>
      <c r="R19" s="213">
        <v>94</v>
      </c>
      <c r="S19" s="213">
        <v>156</v>
      </c>
      <c r="T19" s="213">
        <v>153</v>
      </c>
    </row>
    <row r="20" spans="1:20" x14ac:dyDescent="0.2">
      <c r="J20" s="210" t="s">
        <v>295</v>
      </c>
      <c r="K20" s="211">
        <v>100.67</v>
      </c>
      <c r="L20" s="211">
        <v>116.59</v>
      </c>
      <c r="M20" s="211">
        <v>106.21</v>
      </c>
      <c r="N20" s="211">
        <v>70.17</v>
      </c>
      <c r="O20" s="211">
        <v>292.64</v>
      </c>
      <c r="P20" s="213">
        <v>319</v>
      </c>
      <c r="Q20" s="213">
        <v>372</v>
      </c>
      <c r="R20" s="213">
        <v>323</v>
      </c>
      <c r="S20" s="213">
        <v>324</v>
      </c>
      <c r="T20" s="213">
        <v>326</v>
      </c>
    </row>
    <row r="21" spans="1:20" x14ac:dyDescent="0.2">
      <c r="J21" s="210" t="s">
        <v>39</v>
      </c>
      <c r="K21" s="211">
        <v>444.62</v>
      </c>
      <c r="L21" s="211">
        <v>833.94</v>
      </c>
      <c r="M21" s="211">
        <v>1346.04</v>
      </c>
      <c r="N21" s="211">
        <v>1202.83</v>
      </c>
      <c r="O21" s="211">
        <v>703.47</v>
      </c>
      <c r="P21" s="213">
        <v>1415</v>
      </c>
      <c r="Q21" s="213">
        <v>1415</v>
      </c>
      <c r="R21" s="213">
        <v>2255</v>
      </c>
      <c r="S21" s="213">
        <v>1679</v>
      </c>
      <c r="T21" s="213">
        <v>1262</v>
      </c>
    </row>
    <row r="22" spans="1:20" x14ac:dyDescent="0.2">
      <c r="J22" s="210" t="s">
        <v>296</v>
      </c>
      <c r="K22" s="211">
        <v>991.04</v>
      </c>
      <c r="L22" s="211">
        <v>959.94</v>
      </c>
      <c r="M22" s="211">
        <v>941.99</v>
      </c>
      <c r="N22" s="211">
        <v>955.95</v>
      </c>
      <c r="O22" s="211">
        <v>940.75</v>
      </c>
      <c r="P22" s="213">
        <v>0</v>
      </c>
      <c r="Q22" s="213">
        <v>0</v>
      </c>
      <c r="R22" s="213">
        <v>0</v>
      </c>
      <c r="S22" s="213">
        <v>0</v>
      </c>
      <c r="T22" s="213">
        <v>0</v>
      </c>
    </row>
    <row r="23" spans="1:20" x14ac:dyDescent="0.2">
      <c r="A23" s="218">
        <v>3</v>
      </c>
      <c r="B23" t="s">
        <v>297</v>
      </c>
      <c r="J23" s="210" t="s">
        <v>208</v>
      </c>
      <c r="K23" s="211">
        <v>728.81</v>
      </c>
      <c r="L23" s="211">
        <v>706.69</v>
      </c>
      <c r="M23" s="211">
        <v>678.16</v>
      </c>
      <c r="N23" s="211">
        <v>673.59</v>
      </c>
      <c r="O23" s="211">
        <v>647.69000000000005</v>
      </c>
      <c r="P23" s="213">
        <v>0</v>
      </c>
      <c r="Q23" s="213">
        <v>0</v>
      </c>
      <c r="R23" s="213">
        <v>0</v>
      </c>
      <c r="S23" s="213">
        <v>0</v>
      </c>
      <c r="T23" s="213">
        <v>0</v>
      </c>
    </row>
    <row r="24" spans="1:20" x14ac:dyDescent="0.2">
      <c r="A24" s="218"/>
      <c r="B24" t="s">
        <v>298</v>
      </c>
      <c r="J24" s="210" t="s">
        <v>299</v>
      </c>
      <c r="K24" s="211">
        <v>493.06</v>
      </c>
      <c r="L24" s="211">
        <v>493.99</v>
      </c>
      <c r="M24" s="211">
        <v>491.21</v>
      </c>
      <c r="N24" s="211">
        <v>483.32</v>
      </c>
      <c r="O24" s="211">
        <v>477.36</v>
      </c>
      <c r="P24" s="213">
        <v>1294</v>
      </c>
      <c r="Q24" s="213">
        <v>1295</v>
      </c>
      <c r="R24" s="213">
        <v>1294</v>
      </c>
      <c r="S24" s="213">
        <v>1293</v>
      </c>
      <c r="T24" s="213">
        <v>1293</v>
      </c>
    </row>
    <row r="25" spans="1:20" x14ac:dyDescent="0.2">
      <c r="A25" s="61">
        <v>4</v>
      </c>
      <c r="B25" t="s">
        <v>300</v>
      </c>
      <c r="J25" s="210" t="s">
        <v>301</v>
      </c>
      <c r="K25" s="211">
        <v>406.44</v>
      </c>
      <c r="L25" s="211">
        <v>393.97</v>
      </c>
      <c r="M25" s="211">
        <v>409.36</v>
      </c>
      <c r="N25" s="211">
        <v>434.72</v>
      </c>
      <c r="O25" s="211">
        <v>433.13</v>
      </c>
      <c r="P25" s="213">
        <v>18</v>
      </c>
      <c r="Q25" s="213">
        <v>22</v>
      </c>
      <c r="R25" s="213">
        <v>27</v>
      </c>
      <c r="S25" s="213">
        <v>34</v>
      </c>
      <c r="T25" s="213">
        <v>39</v>
      </c>
    </row>
    <row r="26" spans="1:20" x14ac:dyDescent="0.2">
      <c r="A26" s="61"/>
      <c r="B26" t="s">
        <v>302</v>
      </c>
      <c r="J26" s="210" t="s">
        <v>40</v>
      </c>
      <c r="K26" s="211">
        <v>0</v>
      </c>
      <c r="L26" s="211">
        <v>0</v>
      </c>
      <c r="M26" s="211">
        <v>0</v>
      </c>
      <c r="N26" s="211">
        <v>0</v>
      </c>
      <c r="O26" s="211">
        <v>0</v>
      </c>
      <c r="P26" s="213">
        <v>31</v>
      </c>
      <c r="Q26" s="213">
        <v>31</v>
      </c>
      <c r="R26" s="213">
        <v>28</v>
      </c>
      <c r="S26" s="213">
        <v>28</v>
      </c>
      <c r="T26" s="213">
        <v>28</v>
      </c>
    </row>
    <row r="27" spans="1:20" x14ac:dyDescent="0.2">
      <c r="J27" s="210" t="s">
        <v>210</v>
      </c>
      <c r="K27" s="211">
        <v>110.22</v>
      </c>
      <c r="L27" s="211">
        <v>157.09</v>
      </c>
      <c r="M27" s="211">
        <v>183.67</v>
      </c>
      <c r="N27" s="211">
        <v>174.4</v>
      </c>
      <c r="O27" s="211">
        <v>175.15</v>
      </c>
      <c r="P27" s="213">
        <v>290</v>
      </c>
      <c r="Q27" s="213">
        <v>275</v>
      </c>
      <c r="R27" s="213">
        <v>324</v>
      </c>
      <c r="S27" s="213">
        <v>292</v>
      </c>
      <c r="T27" s="213">
        <v>264</v>
      </c>
    </row>
    <row r="28" spans="1:20" x14ac:dyDescent="0.2">
      <c r="J28" s="210" t="s">
        <v>41</v>
      </c>
      <c r="K28" s="211">
        <v>1716.56</v>
      </c>
      <c r="L28" s="211">
        <v>2132.25</v>
      </c>
      <c r="M28" s="211">
        <v>2694.11</v>
      </c>
      <c r="N28" s="211">
        <v>2577.63</v>
      </c>
      <c r="O28" s="211">
        <v>2082.1799999999998</v>
      </c>
      <c r="P28" s="213">
        <v>4064</v>
      </c>
      <c r="Q28" s="213">
        <v>4068</v>
      </c>
      <c r="R28" s="213">
        <v>4969</v>
      </c>
      <c r="S28" s="213">
        <v>4373</v>
      </c>
      <c r="T28" s="213">
        <v>3933</v>
      </c>
    </row>
    <row r="29" spans="1:20" x14ac:dyDescent="0.2">
      <c r="J29" s="210" t="s">
        <v>42</v>
      </c>
      <c r="K29" s="211">
        <v>0</v>
      </c>
      <c r="L29" s="211">
        <v>0</v>
      </c>
      <c r="M29" s="211">
        <v>0</v>
      </c>
      <c r="N29" s="211">
        <v>0</v>
      </c>
      <c r="O29" s="211">
        <v>0</v>
      </c>
      <c r="P29" s="213">
        <v>220</v>
      </c>
      <c r="Q29" s="213">
        <v>157</v>
      </c>
      <c r="R29" s="213">
        <v>269</v>
      </c>
      <c r="S29" s="213">
        <v>258</v>
      </c>
      <c r="T29" s="213">
        <v>165</v>
      </c>
    </row>
    <row r="30" spans="1:20" x14ac:dyDescent="0.2">
      <c r="J30" s="210" t="s">
        <v>64</v>
      </c>
      <c r="K30" s="211">
        <v>42.9</v>
      </c>
      <c r="L30" s="211">
        <v>35.06</v>
      </c>
      <c r="M30" s="211">
        <v>183.86</v>
      </c>
      <c r="N30" s="211">
        <v>123.46</v>
      </c>
      <c r="O30" s="211">
        <v>40.75</v>
      </c>
      <c r="P30" s="213">
        <v>146</v>
      </c>
      <c r="Q30" s="213">
        <v>300</v>
      </c>
      <c r="R30" s="213">
        <v>241</v>
      </c>
      <c r="S30" s="213">
        <v>215</v>
      </c>
      <c r="T30" s="213">
        <v>140</v>
      </c>
    </row>
    <row r="31" spans="1:20" x14ac:dyDescent="0.2">
      <c r="J31" s="210" t="s">
        <v>303</v>
      </c>
      <c r="K31" s="211">
        <v>0</v>
      </c>
      <c r="L31" s="211">
        <v>0</v>
      </c>
      <c r="M31" s="211">
        <v>0</v>
      </c>
      <c r="N31" s="211">
        <v>0</v>
      </c>
      <c r="O31" s="211">
        <v>0</v>
      </c>
      <c r="P31" s="213">
        <v>0</v>
      </c>
      <c r="Q31" s="213">
        <v>0</v>
      </c>
      <c r="R31" s="213">
        <v>0</v>
      </c>
      <c r="S31" s="213">
        <v>0</v>
      </c>
      <c r="T31" s="213">
        <v>0</v>
      </c>
    </row>
    <row r="32" spans="1:20" x14ac:dyDescent="0.2">
      <c r="J32" s="210" t="s">
        <v>304</v>
      </c>
      <c r="K32" s="211">
        <v>1</v>
      </c>
      <c r="L32" s="211">
        <v>0.99</v>
      </c>
      <c r="M32" s="211">
        <v>0.98</v>
      </c>
      <c r="N32" s="211">
        <v>0.94</v>
      </c>
      <c r="O32" s="211">
        <v>0.9</v>
      </c>
      <c r="P32" s="213">
        <v>450</v>
      </c>
      <c r="Q32" s="213">
        <v>50</v>
      </c>
      <c r="R32" s="213">
        <v>50</v>
      </c>
      <c r="S32" s="213">
        <v>687</v>
      </c>
      <c r="T32" s="213">
        <v>625</v>
      </c>
    </row>
    <row r="33" spans="1:20" x14ac:dyDescent="0.2">
      <c r="J33" s="210" t="s">
        <v>212</v>
      </c>
      <c r="K33" s="211">
        <v>234.4</v>
      </c>
      <c r="L33" s="211">
        <v>364.7</v>
      </c>
      <c r="M33" s="211">
        <v>537.41</v>
      </c>
      <c r="N33" s="211">
        <v>191.15</v>
      </c>
      <c r="O33" s="211">
        <v>253.39</v>
      </c>
      <c r="P33" s="213">
        <v>1301</v>
      </c>
      <c r="Q33" s="213">
        <v>1437</v>
      </c>
      <c r="R33" s="213">
        <v>1934</v>
      </c>
      <c r="S33" s="213">
        <v>1643</v>
      </c>
      <c r="T33" s="213">
        <v>1251</v>
      </c>
    </row>
    <row r="34" spans="1:20" x14ac:dyDescent="0.2">
      <c r="J34" s="210" t="s">
        <v>43</v>
      </c>
      <c r="K34" s="211">
        <v>393.18</v>
      </c>
      <c r="L34" s="211">
        <v>562.51</v>
      </c>
      <c r="M34" s="211">
        <v>939.28</v>
      </c>
      <c r="N34" s="211">
        <v>554.64</v>
      </c>
      <c r="O34" s="211">
        <v>434.86</v>
      </c>
      <c r="P34" s="213">
        <v>2117</v>
      </c>
      <c r="Q34" s="213">
        <v>1944</v>
      </c>
      <c r="R34" s="213">
        <v>2494</v>
      </c>
      <c r="S34" s="213">
        <v>2803</v>
      </c>
      <c r="T34" s="213">
        <v>2181</v>
      </c>
    </row>
    <row r="35" spans="1:20" x14ac:dyDescent="0.2">
      <c r="A35" s="219">
        <v>5</v>
      </c>
      <c r="B35" t="s">
        <v>305</v>
      </c>
      <c r="J35" s="210" t="s">
        <v>213</v>
      </c>
      <c r="K35" s="211">
        <v>1494.83</v>
      </c>
      <c r="L35" s="211">
        <v>1494.41</v>
      </c>
      <c r="M35" s="211">
        <v>1494</v>
      </c>
      <c r="N35" s="211">
        <v>2593.56</v>
      </c>
      <c r="O35" s="211">
        <v>1968.11</v>
      </c>
      <c r="P35" s="213">
        <v>875</v>
      </c>
      <c r="Q35" s="213">
        <v>488</v>
      </c>
      <c r="R35" s="213">
        <v>500</v>
      </c>
      <c r="S35" s="213">
        <v>1150</v>
      </c>
      <c r="T35" s="213">
        <v>1100</v>
      </c>
    </row>
    <row r="36" spans="1:20" x14ac:dyDescent="0.2">
      <c r="A36" s="16">
        <v>6</v>
      </c>
      <c r="B36" t="s">
        <v>306</v>
      </c>
      <c r="J36" s="210" t="s">
        <v>307</v>
      </c>
      <c r="K36" s="211">
        <v>138.02000000000001</v>
      </c>
      <c r="L36" s="211">
        <v>159.22999999999999</v>
      </c>
      <c r="M36" s="211">
        <v>159.09</v>
      </c>
      <c r="N36" s="211">
        <v>109.56</v>
      </c>
      <c r="O36" s="211">
        <v>117.55</v>
      </c>
      <c r="P36" s="213">
        <v>0</v>
      </c>
      <c r="Q36" s="213">
        <v>0</v>
      </c>
      <c r="R36" s="213">
        <v>6</v>
      </c>
      <c r="S36" s="213">
        <v>7</v>
      </c>
      <c r="T36" s="213">
        <v>0</v>
      </c>
    </row>
    <row r="37" spans="1:20" x14ac:dyDescent="0.2">
      <c r="A37" s="64">
        <v>7</v>
      </c>
      <c r="B37" t="s">
        <v>308</v>
      </c>
      <c r="J37" s="210" t="s">
        <v>215</v>
      </c>
      <c r="K37" s="211">
        <v>104.31</v>
      </c>
      <c r="L37" s="211">
        <v>131.41</v>
      </c>
      <c r="M37" s="211">
        <v>163.61000000000001</v>
      </c>
      <c r="N37" s="211">
        <v>121.63</v>
      </c>
      <c r="O37" s="212">
        <v>120.03</v>
      </c>
      <c r="P37" s="213">
        <v>319</v>
      </c>
      <c r="Q37" s="213">
        <v>332</v>
      </c>
      <c r="R37" s="213">
        <v>322</v>
      </c>
      <c r="S37" s="213">
        <v>315</v>
      </c>
      <c r="T37" s="214">
        <v>341</v>
      </c>
    </row>
    <row r="38" spans="1:20" x14ac:dyDescent="0.2">
      <c r="A38" s="57">
        <v>8</v>
      </c>
      <c r="B38" t="s">
        <v>309</v>
      </c>
      <c r="J38" s="210" t="s">
        <v>44</v>
      </c>
      <c r="K38" s="211">
        <v>2129.33</v>
      </c>
      <c r="L38" s="211">
        <v>2346.58</v>
      </c>
      <c r="M38" s="211">
        <v>2754.99</v>
      </c>
      <c r="N38" s="211">
        <v>3378.45</v>
      </c>
      <c r="O38" s="212">
        <v>2639.65</v>
      </c>
      <c r="P38" s="213">
        <v>2861</v>
      </c>
      <c r="Q38" s="213">
        <v>2714</v>
      </c>
      <c r="R38" s="213">
        <v>3272</v>
      </c>
      <c r="S38" s="213">
        <v>3588</v>
      </c>
      <c r="T38" s="214">
        <v>2997</v>
      </c>
    </row>
    <row r="40" spans="1:20" x14ac:dyDescent="0.2">
      <c r="J40" s="1" t="s">
        <v>310</v>
      </c>
    </row>
    <row r="42" spans="1:20" x14ac:dyDescent="0.2">
      <c r="J42" s="49"/>
      <c r="K42" s="300" t="s">
        <v>282</v>
      </c>
      <c r="L42" s="300"/>
      <c r="M42" s="301" t="s">
        <v>283</v>
      </c>
      <c r="N42" s="301"/>
      <c r="Q42" s="3"/>
      <c r="R42"/>
    </row>
    <row r="43" spans="1:20" x14ac:dyDescent="0.2">
      <c r="J43" s="49"/>
      <c r="K43" s="203"/>
      <c r="L43" s="203"/>
      <c r="M43" s="204"/>
      <c r="N43" s="204"/>
    </row>
    <row r="44" spans="1:20" x14ac:dyDescent="0.2">
      <c r="J44" s="205" t="s">
        <v>187</v>
      </c>
      <c r="K44" s="206">
        <v>43039</v>
      </c>
      <c r="L44" s="207"/>
      <c r="M44" s="208">
        <v>43039</v>
      </c>
      <c r="N44" s="208"/>
      <c r="Q44" s="3"/>
      <c r="R44"/>
    </row>
    <row r="45" spans="1:20" x14ac:dyDescent="0.2">
      <c r="J45" s="210" t="s">
        <v>192</v>
      </c>
      <c r="K45" s="220"/>
      <c r="L45" s="148"/>
      <c r="M45" s="220"/>
      <c r="N45" s="149"/>
    </row>
    <row r="46" spans="1:20" x14ac:dyDescent="0.2">
      <c r="J46" s="210" t="s">
        <v>193</v>
      </c>
      <c r="K46" s="220"/>
      <c r="L46" s="148"/>
      <c r="M46" s="220"/>
      <c r="N46" s="149"/>
      <c r="Q46"/>
    </row>
    <row r="47" spans="1:20" x14ac:dyDescent="0.2">
      <c r="G47" s="221" t="s">
        <v>282</v>
      </c>
      <c r="H47" s="221" t="s">
        <v>283</v>
      </c>
      <c r="J47" s="210" t="s">
        <v>285</v>
      </c>
      <c r="K47" s="220"/>
      <c r="L47" s="148"/>
      <c r="M47" s="220"/>
      <c r="N47" s="149"/>
    </row>
    <row r="48" spans="1:20" x14ac:dyDescent="0.2">
      <c r="A48" s="47">
        <v>9</v>
      </c>
      <c r="B48" t="s">
        <v>311</v>
      </c>
      <c r="G48" s="47"/>
      <c r="H48" s="47"/>
      <c r="J48" s="210" t="s">
        <v>55</v>
      </c>
      <c r="K48" s="220"/>
      <c r="L48" s="148"/>
      <c r="M48" s="220"/>
      <c r="N48" s="149"/>
      <c r="Q48"/>
    </row>
    <row r="49" spans="1:14" x14ac:dyDescent="0.2">
      <c r="A49" s="63">
        <v>10</v>
      </c>
      <c r="B49" t="s">
        <v>312</v>
      </c>
      <c r="G49" s="63"/>
      <c r="H49" s="63"/>
      <c r="J49" s="210" t="s">
        <v>56</v>
      </c>
      <c r="K49" s="220"/>
      <c r="L49" s="148"/>
      <c r="M49" s="220"/>
      <c r="N49" s="149"/>
    </row>
    <row r="50" spans="1:14" x14ac:dyDescent="0.2">
      <c r="A50" s="222">
        <v>11</v>
      </c>
      <c r="B50" t="s">
        <v>442</v>
      </c>
      <c r="G50" s="222"/>
      <c r="H50" s="222"/>
      <c r="J50" s="210" t="s">
        <v>288</v>
      </c>
      <c r="K50" s="220"/>
      <c r="L50" s="148"/>
      <c r="M50" s="220"/>
      <c r="N50" s="149"/>
    </row>
    <row r="51" spans="1:14" x14ac:dyDescent="0.2">
      <c r="A51" s="41">
        <v>12</v>
      </c>
      <c r="B51" t="s">
        <v>313</v>
      </c>
      <c r="G51" s="41"/>
      <c r="H51" s="41"/>
      <c r="J51" s="210" t="s">
        <v>46</v>
      </c>
      <c r="K51" s="220"/>
      <c r="L51" s="148"/>
      <c r="M51" s="220"/>
      <c r="N51" s="149"/>
    </row>
    <row r="52" spans="1:14" x14ac:dyDescent="0.2">
      <c r="A52" s="41"/>
      <c r="B52" t="s">
        <v>443</v>
      </c>
      <c r="J52" s="210" t="s">
        <v>48</v>
      </c>
      <c r="K52" s="220"/>
      <c r="L52" s="148"/>
      <c r="M52" s="220"/>
      <c r="N52" s="149"/>
    </row>
    <row r="53" spans="1:14" x14ac:dyDescent="0.2">
      <c r="A53" s="41"/>
      <c r="B53" t="s">
        <v>444</v>
      </c>
      <c r="J53" s="210"/>
      <c r="K53" s="148"/>
      <c r="L53" s="148"/>
      <c r="M53" s="149"/>
      <c r="N53" s="149"/>
    </row>
    <row r="54" spans="1:14" x14ac:dyDescent="0.2">
      <c r="A54" s="223">
        <v>13</v>
      </c>
      <c r="B54" t="s">
        <v>314</v>
      </c>
      <c r="G54" s="223"/>
      <c r="H54" s="223"/>
      <c r="J54" s="210" t="s">
        <v>315</v>
      </c>
      <c r="K54" s="224"/>
      <c r="L54" s="148"/>
      <c r="M54" s="224"/>
      <c r="N54" s="149"/>
    </row>
    <row r="55" spans="1:14" x14ac:dyDescent="0.2">
      <c r="A55" s="223"/>
      <c r="B55" t="s">
        <v>316</v>
      </c>
      <c r="J55" s="210" t="s">
        <v>317</v>
      </c>
      <c r="K55" s="225"/>
      <c r="L55" s="148"/>
      <c r="M55" s="225"/>
      <c r="N55" s="149"/>
    </row>
    <row r="56" spans="1:14" x14ac:dyDescent="0.2">
      <c r="J56" s="215"/>
      <c r="K56" s="216"/>
      <c r="L56" s="216"/>
      <c r="M56" s="217"/>
      <c r="N56" s="217"/>
    </row>
    <row r="57" spans="1:14" x14ac:dyDescent="0.2">
      <c r="J57" s="205" t="s">
        <v>59</v>
      </c>
      <c r="K57" s="206">
        <v>43039</v>
      </c>
      <c r="L57" s="207">
        <v>42674</v>
      </c>
      <c r="M57" s="208">
        <v>43039</v>
      </c>
      <c r="N57" s="208">
        <v>42674</v>
      </c>
    </row>
    <row r="58" spans="1:14" x14ac:dyDescent="0.2">
      <c r="J58" s="210" t="s">
        <v>60</v>
      </c>
      <c r="K58" s="226"/>
      <c r="L58" s="226"/>
      <c r="M58" s="226"/>
      <c r="N58" s="226"/>
    </row>
    <row r="59" spans="1:14" x14ac:dyDescent="0.2">
      <c r="J59" s="210" t="s">
        <v>294</v>
      </c>
      <c r="K59" s="226"/>
      <c r="L59" s="226"/>
      <c r="M59" s="226"/>
      <c r="N59" s="226"/>
    </row>
    <row r="60" spans="1:14" x14ac:dyDescent="0.2">
      <c r="J60" s="210" t="s">
        <v>62</v>
      </c>
      <c r="K60" s="226"/>
      <c r="L60" s="226"/>
      <c r="M60" s="226"/>
      <c r="N60" s="226"/>
    </row>
    <row r="61" spans="1:14" x14ac:dyDescent="0.2">
      <c r="J61" s="210" t="s">
        <v>63</v>
      </c>
      <c r="K61" s="226"/>
      <c r="L61" s="226"/>
      <c r="M61" s="226"/>
      <c r="N61" s="226"/>
    </row>
    <row r="62" spans="1:14" x14ac:dyDescent="0.2">
      <c r="J62" s="210" t="s">
        <v>295</v>
      </c>
      <c r="K62" s="226"/>
      <c r="L62" s="226"/>
      <c r="M62" s="226"/>
      <c r="N62" s="226"/>
    </row>
    <row r="63" spans="1:14" x14ac:dyDescent="0.2">
      <c r="J63" s="210" t="s">
        <v>39</v>
      </c>
      <c r="K63" s="226"/>
      <c r="L63" s="226"/>
      <c r="M63" s="226"/>
      <c r="N63" s="226"/>
    </row>
    <row r="64" spans="1:14" x14ac:dyDescent="0.2">
      <c r="A64" s="66">
        <v>14</v>
      </c>
      <c r="B64" t="s">
        <v>445</v>
      </c>
      <c r="J64" s="210" t="s">
        <v>296</v>
      </c>
      <c r="K64" s="226"/>
      <c r="L64" s="226"/>
      <c r="M64" s="226"/>
      <c r="N64" s="226"/>
    </row>
    <row r="65" spans="1:14" x14ac:dyDescent="0.2">
      <c r="A65" s="227">
        <v>15</v>
      </c>
      <c r="B65" t="s">
        <v>446</v>
      </c>
      <c r="J65" s="210" t="s">
        <v>208</v>
      </c>
      <c r="K65" s="226"/>
      <c r="L65" s="226"/>
      <c r="M65" s="226"/>
      <c r="N65" s="226"/>
    </row>
    <row r="66" spans="1:14" x14ac:dyDescent="0.2">
      <c r="J66" s="210" t="s">
        <v>299</v>
      </c>
      <c r="K66" s="226"/>
      <c r="L66" s="226"/>
      <c r="M66" s="226"/>
      <c r="N66" s="226"/>
    </row>
    <row r="67" spans="1:14" x14ac:dyDescent="0.2">
      <c r="J67" s="210" t="s">
        <v>301</v>
      </c>
      <c r="K67" s="226"/>
      <c r="L67" s="226"/>
      <c r="M67" s="226"/>
      <c r="N67" s="226"/>
    </row>
    <row r="68" spans="1:14" x14ac:dyDescent="0.2">
      <c r="J68" s="210" t="s">
        <v>40</v>
      </c>
      <c r="K68" s="226"/>
      <c r="L68" s="226"/>
      <c r="M68" s="226"/>
      <c r="N68" s="226"/>
    </row>
    <row r="69" spans="1:14" x14ac:dyDescent="0.2">
      <c r="J69" s="210" t="s">
        <v>210</v>
      </c>
      <c r="K69" s="226"/>
      <c r="L69" s="226"/>
      <c r="M69" s="226"/>
      <c r="N69" s="226"/>
    </row>
    <row r="70" spans="1:14" x14ac:dyDescent="0.2">
      <c r="J70" s="210" t="s">
        <v>41</v>
      </c>
      <c r="K70" s="226"/>
      <c r="L70" s="226"/>
      <c r="M70" s="226"/>
      <c r="N70" s="226"/>
    </row>
    <row r="71" spans="1:14" x14ac:dyDescent="0.2">
      <c r="J71" s="210" t="s">
        <v>42</v>
      </c>
      <c r="K71" s="226"/>
      <c r="L71" s="226"/>
      <c r="M71" s="226"/>
      <c r="N71" s="226"/>
    </row>
    <row r="72" spans="1:14" x14ac:dyDescent="0.2">
      <c r="J72" s="210" t="s">
        <v>64</v>
      </c>
      <c r="K72" s="226"/>
      <c r="L72" s="226"/>
      <c r="M72" s="226"/>
      <c r="N72" s="226"/>
    </row>
    <row r="73" spans="1:14" x14ac:dyDescent="0.2">
      <c r="J73" s="210" t="s">
        <v>303</v>
      </c>
      <c r="K73" s="226"/>
      <c r="L73" s="226"/>
      <c r="M73" s="226"/>
      <c r="N73" s="226"/>
    </row>
    <row r="74" spans="1:14" x14ac:dyDescent="0.2">
      <c r="J74" s="210" t="s">
        <v>304</v>
      </c>
      <c r="K74" s="226"/>
      <c r="L74" s="226"/>
      <c r="M74" s="226"/>
      <c r="N74" s="226"/>
    </row>
    <row r="75" spans="1:14" x14ac:dyDescent="0.2">
      <c r="J75" s="210" t="s">
        <v>212</v>
      </c>
      <c r="K75" s="226"/>
      <c r="L75" s="226"/>
      <c r="M75" s="226"/>
      <c r="N75" s="226"/>
    </row>
    <row r="76" spans="1:14" x14ac:dyDescent="0.2">
      <c r="A76" s="160">
        <v>16</v>
      </c>
      <c r="B76" t="s">
        <v>447</v>
      </c>
      <c r="J76" s="210" t="s">
        <v>43</v>
      </c>
      <c r="K76" s="226"/>
      <c r="L76" s="226"/>
      <c r="M76" s="226"/>
      <c r="N76" s="226"/>
    </row>
    <row r="77" spans="1:14" x14ac:dyDescent="0.2">
      <c r="A77" s="64">
        <v>17</v>
      </c>
      <c r="B77" t="s">
        <v>318</v>
      </c>
      <c r="J77" s="210" t="s">
        <v>213</v>
      </c>
      <c r="K77" s="226"/>
      <c r="L77" s="226"/>
      <c r="M77" s="226"/>
      <c r="N77" s="226"/>
    </row>
    <row r="78" spans="1:14" x14ac:dyDescent="0.2">
      <c r="J78" s="210" t="s">
        <v>307</v>
      </c>
      <c r="K78" s="226"/>
      <c r="L78" s="226"/>
      <c r="M78" s="226"/>
      <c r="N78" s="226"/>
    </row>
    <row r="79" spans="1:14" x14ac:dyDescent="0.2">
      <c r="J79" s="210" t="s">
        <v>215</v>
      </c>
      <c r="K79" s="226"/>
      <c r="L79" s="226"/>
      <c r="M79" s="226"/>
      <c r="N79" s="226"/>
    </row>
    <row r="80" spans="1:14" x14ac:dyDescent="0.2">
      <c r="J80" s="210" t="s">
        <v>44</v>
      </c>
      <c r="K80" s="226"/>
      <c r="L80" s="226"/>
      <c r="M80" s="226"/>
      <c r="N80" s="226"/>
    </row>
    <row r="81" spans="10:14" x14ac:dyDescent="0.2">
      <c r="J81" s="210" t="s">
        <v>65</v>
      </c>
      <c r="K81" s="228"/>
      <c r="L81" s="228"/>
      <c r="M81" s="228"/>
      <c r="N81" s="228"/>
    </row>
    <row r="82" spans="10:14" x14ac:dyDescent="0.2">
      <c r="J82" s="210" t="s">
        <v>218</v>
      </c>
      <c r="K82" s="229"/>
      <c r="L82" s="229"/>
      <c r="M82" s="229"/>
      <c r="N82" s="229"/>
    </row>
    <row r="85" spans="10:14" x14ac:dyDescent="0.2">
      <c r="J85" s="1" t="s">
        <v>319</v>
      </c>
    </row>
    <row r="87" spans="10:14" x14ac:dyDescent="0.2">
      <c r="J87" s="49"/>
      <c r="K87" s="300" t="s">
        <v>282</v>
      </c>
      <c r="L87" s="300"/>
      <c r="M87" s="301" t="s">
        <v>283</v>
      </c>
      <c r="N87" s="301"/>
    </row>
    <row r="88" spans="10:14" x14ac:dyDescent="0.2">
      <c r="J88" s="49"/>
      <c r="K88" s="203"/>
      <c r="L88" s="203"/>
      <c r="M88" s="204"/>
      <c r="N88" s="204"/>
    </row>
    <row r="89" spans="10:14" x14ac:dyDescent="0.2">
      <c r="J89" s="205" t="s">
        <v>187</v>
      </c>
      <c r="K89" s="206">
        <v>43039</v>
      </c>
      <c r="L89" s="207"/>
      <c r="M89" s="208">
        <v>43039</v>
      </c>
      <c r="N89" s="208"/>
    </row>
    <row r="90" spans="10:14" x14ac:dyDescent="0.2">
      <c r="J90" s="210" t="s">
        <v>192</v>
      </c>
      <c r="K90" s="230"/>
      <c r="L90" s="148"/>
      <c r="M90" s="230"/>
      <c r="N90" s="149"/>
    </row>
    <row r="91" spans="10:14" x14ac:dyDescent="0.2">
      <c r="J91" s="210" t="s">
        <v>193</v>
      </c>
      <c r="K91" s="230"/>
      <c r="L91" s="148"/>
      <c r="M91" s="230"/>
      <c r="N91" s="149"/>
    </row>
    <row r="92" spans="10:14" x14ac:dyDescent="0.2">
      <c r="J92" s="210" t="s">
        <v>285</v>
      </c>
      <c r="K92" s="230"/>
      <c r="L92" s="148"/>
      <c r="M92" s="230"/>
      <c r="N92" s="149"/>
    </row>
    <row r="93" spans="10:14" x14ac:dyDescent="0.2">
      <c r="J93" s="210" t="s">
        <v>55</v>
      </c>
      <c r="K93" s="230"/>
      <c r="L93" s="148"/>
      <c r="M93" s="230"/>
      <c r="N93" s="149"/>
    </row>
    <row r="94" spans="10:14" x14ac:dyDescent="0.2">
      <c r="J94" s="210" t="s">
        <v>48</v>
      </c>
      <c r="K94" s="230"/>
      <c r="L94" s="148"/>
      <c r="M94" s="230"/>
      <c r="N94" s="149"/>
    </row>
    <row r="95" spans="10:14" x14ac:dyDescent="0.2">
      <c r="J95" s="215"/>
      <c r="K95" s="216"/>
      <c r="L95" s="216"/>
      <c r="M95" s="217"/>
      <c r="N95" s="217"/>
    </row>
    <row r="96" spans="10:14" x14ac:dyDescent="0.2">
      <c r="J96" s="205" t="s">
        <v>59</v>
      </c>
      <c r="K96" s="206">
        <v>43039</v>
      </c>
      <c r="L96" s="207">
        <v>42674</v>
      </c>
      <c r="M96" s="208">
        <v>43039</v>
      </c>
      <c r="N96" s="208">
        <v>42674</v>
      </c>
    </row>
    <row r="97" spans="10:14" x14ac:dyDescent="0.2">
      <c r="J97" s="210" t="s">
        <v>218</v>
      </c>
      <c r="K97" s="231"/>
      <c r="L97" s="231"/>
      <c r="M97" s="231"/>
      <c r="N97" s="231"/>
    </row>
    <row r="98" spans="10:14" x14ac:dyDescent="0.2">
      <c r="J98" s="210" t="s">
        <v>41</v>
      </c>
      <c r="K98" s="231"/>
      <c r="L98" s="231"/>
      <c r="M98" s="231"/>
      <c r="N98" s="231"/>
    </row>
  </sheetData>
  <mergeCells count="6">
    <mergeCell ref="K3:O3"/>
    <mergeCell ref="P3:T3"/>
    <mergeCell ref="K42:L42"/>
    <mergeCell ref="M42:N42"/>
    <mergeCell ref="K87:L87"/>
    <mergeCell ref="M87:N87"/>
  </mergeCells>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0B182E-8258-6241-9637-49F901138B5C}">
  <sheetPr>
    <tabColor theme="7" tint="0.79998168889431442"/>
  </sheetPr>
  <dimension ref="A16:L63"/>
  <sheetViews>
    <sheetView zoomScale="130" zoomScaleNormal="130" workbookViewId="0">
      <selection activeCell="F21" sqref="F21"/>
    </sheetView>
  </sheetViews>
  <sheetFormatPr baseColWidth="10" defaultRowHeight="16" x14ac:dyDescent="0.2"/>
  <cols>
    <col min="2" max="2" width="38.33203125" customWidth="1"/>
    <col min="3" max="3" width="22" customWidth="1"/>
    <col min="4" max="4" width="17" bestFit="1" customWidth="1"/>
    <col min="6" max="6" width="29.1640625" customWidth="1"/>
    <col min="7" max="7" width="17" bestFit="1" customWidth="1"/>
    <col min="9" max="9" width="21.83203125" customWidth="1"/>
    <col min="10" max="10" width="17" bestFit="1" customWidth="1"/>
    <col min="12" max="12" width="43.5" customWidth="1"/>
  </cols>
  <sheetData>
    <row r="16" spans="1:11" x14ac:dyDescent="0.2">
      <c r="A16" s="1"/>
      <c r="B16" s="2"/>
      <c r="C16" s="296" t="s">
        <v>0</v>
      </c>
      <c r="D16" s="296"/>
      <c r="E16" s="296"/>
      <c r="F16" s="297" t="s">
        <v>1</v>
      </c>
      <c r="G16" s="297"/>
      <c r="H16" s="297"/>
      <c r="I16" s="298" t="s">
        <v>2</v>
      </c>
      <c r="J16" s="298"/>
      <c r="K16" s="298"/>
    </row>
    <row r="17" spans="1:12" s="3" customFormat="1" x14ac:dyDescent="0.2">
      <c r="B17" s="4"/>
      <c r="C17" s="5" t="s">
        <v>3</v>
      </c>
      <c r="D17" s="5" t="s">
        <v>4</v>
      </c>
      <c r="E17" s="6" t="s">
        <v>5</v>
      </c>
      <c r="F17" s="7" t="s">
        <v>3</v>
      </c>
      <c r="G17" s="7" t="s">
        <v>4</v>
      </c>
      <c r="H17" s="8" t="s">
        <v>5</v>
      </c>
      <c r="I17" s="9" t="s">
        <v>3</v>
      </c>
      <c r="J17" s="9" t="s">
        <v>4</v>
      </c>
      <c r="K17" s="10" t="s">
        <v>5</v>
      </c>
    </row>
    <row r="18" spans="1:12" ht="42" customHeight="1" x14ac:dyDescent="0.2">
      <c r="A18" s="11" t="s">
        <v>6</v>
      </c>
      <c r="B18" s="299" t="s">
        <v>7</v>
      </c>
      <c r="C18" s="13" t="s">
        <v>8</v>
      </c>
      <c r="D18" s="13" t="s">
        <v>9</v>
      </c>
      <c r="E18" s="14">
        <v>2000</v>
      </c>
      <c r="F18" s="13"/>
      <c r="G18" s="13"/>
      <c r="H18" s="14"/>
      <c r="I18" s="13" t="s">
        <v>10</v>
      </c>
      <c r="J18" s="13" t="s">
        <v>9</v>
      </c>
      <c r="K18" s="14">
        <v>2000</v>
      </c>
      <c r="L18" s="13"/>
    </row>
    <row r="19" spans="1:12" ht="42" customHeight="1" x14ac:dyDescent="0.2">
      <c r="A19" s="11"/>
      <c r="B19" s="299"/>
      <c r="C19" s="13"/>
      <c r="D19" s="13"/>
      <c r="E19" s="14"/>
      <c r="F19" s="13"/>
      <c r="G19" s="13"/>
      <c r="H19" s="14"/>
      <c r="I19" s="13"/>
      <c r="J19" s="13"/>
      <c r="K19" s="14"/>
      <c r="L19" s="13"/>
    </row>
    <row r="20" spans="1:12" ht="42" customHeight="1" x14ac:dyDescent="0.2">
      <c r="A20" s="15">
        <v>1</v>
      </c>
      <c r="B20" s="299" t="s">
        <v>11</v>
      </c>
      <c r="C20" s="13"/>
      <c r="D20" s="13"/>
      <c r="E20" s="14"/>
      <c r="F20" s="13"/>
      <c r="G20" s="13"/>
      <c r="H20" s="14"/>
      <c r="I20" s="13"/>
      <c r="J20" s="13"/>
      <c r="K20" s="14"/>
      <c r="L20" s="13"/>
    </row>
    <row r="21" spans="1:12" ht="42" customHeight="1" x14ac:dyDescent="0.2">
      <c r="A21" s="15"/>
      <c r="B21" s="299"/>
      <c r="C21" s="13"/>
      <c r="D21" s="13"/>
      <c r="E21" s="14"/>
      <c r="F21" s="13"/>
      <c r="G21" s="13"/>
      <c r="H21" s="14"/>
      <c r="I21" s="13"/>
      <c r="J21" s="13"/>
      <c r="K21" s="13"/>
      <c r="L21" s="13"/>
    </row>
    <row r="22" spans="1:12" ht="42" customHeight="1" x14ac:dyDescent="0.2">
      <c r="A22" s="16">
        <v>2</v>
      </c>
      <c r="B22" s="292" t="s">
        <v>13</v>
      </c>
      <c r="C22" s="13"/>
      <c r="D22" s="13"/>
      <c r="E22" s="14"/>
      <c r="F22" s="13"/>
      <c r="G22" s="13"/>
      <c r="H22" s="14"/>
      <c r="I22" s="13"/>
      <c r="J22" s="13"/>
      <c r="K22" s="14"/>
      <c r="L22" s="13"/>
    </row>
    <row r="23" spans="1:12" ht="42" customHeight="1" x14ac:dyDescent="0.2">
      <c r="A23" s="16"/>
      <c r="B23" s="292"/>
      <c r="C23" s="13"/>
      <c r="D23" s="13"/>
      <c r="E23" s="14"/>
      <c r="F23" s="13"/>
      <c r="G23" s="13"/>
      <c r="H23" s="14"/>
      <c r="I23" s="13"/>
      <c r="J23" s="13"/>
      <c r="K23" s="14"/>
      <c r="L23" s="13"/>
    </row>
    <row r="24" spans="1:12" ht="42" customHeight="1" x14ac:dyDescent="0.2">
      <c r="A24" s="17">
        <v>3</v>
      </c>
      <c r="B24" s="292" t="s">
        <v>15</v>
      </c>
      <c r="C24" s="13"/>
      <c r="D24" s="13"/>
      <c r="E24" s="14"/>
      <c r="F24" s="13"/>
      <c r="G24" s="13"/>
      <c r="H24" s="14"/>
      <c r="I24" s="13"/>
      <c r="J24" s="13"/>
      <c r="K24" s="14"/>
      <c r="L24" s="13"/>
    </row>
    <row r="25" spans="1:12" ht="42" customHeight="1" x14ac:dyDescent="0.2">
      <c r="A25" s="17"/>
      <c r="B25" s="292"/>
      <c r="C25" s="13"/>
      <c r="D25" s="13"/>
      <c r="E25" s="14"/>
      <c r="F25" s="13"/>
      <c r="G25" s="13"/>
      <c r="H25" s="14"/>
      <c r="I25" s="13"/>
      <c r="J25" s="13"/>
      <c r="K25" s="14"/>
      <c r="L25" s="13"/>
    </row>
    <row r="26" spans="1:12" ht="42" customHeight="1" x14ac:dyDescent="0.2">
      <c r="A26" s="18">
        <v>4</v>
      </c>
      <c r="B26" s="292" t="s">
        <v>18</v>
      </c>
      <c r="C26" s="13"/>
      <c r="D26" s="13"/>
      <c r="E26" s="14"/>
      <c r="F26" s="13"/>
      <c r="G26" s="13"/>
      <c r="H26" s="14"/>
      <c r="I26" s="13"/>
      <c r="J26" s="13"/>
      <c r="K26" s="14"/>
      <c r="L26" s="13"/>
    </row>
    <row r="27" spans="1:12" ht="42" customHeight="1" x14ac:dyDescent="0.2">
      <c r="A27" s="18"/>
      <c r="B27" s="292"/>
      <c r="C27" s="13"/>
      <c r="D27" s="13"/>
      <c r="E27" s="14"/>
      <c r="F27" s="13"/>
      <c r="G27" s="13"/>
      <c r="H27" s="14"/>
      <c r="I27" s="13"/>
      <c r="J27" s="13"/>
      <c r="K27" s="14"/>
    </row>
    <row r="28" spans="1:12" ht="42" customHeight="1" x14ac:dyDescent="0.2">
      <c r="A28" s="19">
        <v>5</v>
      </c>
      <c r="B28" s="292" t="s">
        <v>19</v>
      </c>
      <c r="C28" s="13"/>
      <c r="D28" s="13"/>
      <c r="E28" s="14"/>
      <c r="F28" s="13"/>
      <c r="G28" s="13"/>
      <c r="H28" s="14"/>
      <c r="I28" s="13"/>
      <c r="J28" s="13"/>
      <c r="K28" s="14"/>
      <c r="L28" s="13"/>
    </row>
    <row r="29" spans="1:12" ht="42" customHeight="1" x14ac:dyDescent="0.2">
      <c r="A29" s="19"/>
      <c r="B29" s="292"/>
      <c r="C29" s="13"/>
      <c r="D29" s="13"/>
      <c r="E29" s="14"/>
      <c r="F29" s="13"/>
      <c r="G29" s="13"/>
      <c r="H29" s="14"/>
      <c r="I29" s="13"/>
      <c r="J29" s="13"/>
      <c r="K29" s="14"/>
      <c r="L29" s="13"/>
    </row>
    <row r="30" spans="1:12" ht="42" customHeight="1" x14ac:dyDescent="0.2">
      <c r="A30" s="20">
        <v>6</v>
      </c>
      <c r="B30" s="292" t="s">
        <v>20</v>
      </c>
      <c r="C30" s="13"/>
      <c r="D30" s="13"/>
      <c r="E30" s="14"/>
      <c r="F30" s="13"/>
      <c r="G30" s="13"/>
      <c r="H30" s="14"/>
      <c r="I30" s="13"/>
      <c r="J30" s="13"/>
      <c r="K30" s="14"/>
      <c r="L30" s="13"/>
    </row>
    <row r="31" spans="1:12" ht="42" customHeight="1" x14ac:dyDescent="0.2">
      <c r="A31" s="20"/>
      <c r="B31" s="292"/>
      <c r="C31" s="13"/>
      <c r="D31" s="13"/>
      <c r="E31" s="14"/>
      <c r="F31" s="13"/>
      <c r="G31" s="13"/>
      <c r="H31" s="14"/>
      <c r="I31" s="13"/>
      <c r="J31" s="13"/>
      <c r="K31" s="14"/>
      <c r="L31" s="13"/>
    </row>
    <row r="32" spans="1:12" ht="53" customHeight="1" x14ac:dyDescent="0.2">
      <c r="A32" s="21">
        <v>7</v>
      </c>
      <c r="B32" s="292" t="s">
        <v>21</v>
      </c>
      <c r="C32" s="13"/>
      <c r="D32" s="13"/>
      <c r="E32" s="14"/>
      <c r="F32" s="13"/>
      <c r="G32" s="13"/>
      <c r="H32" s="14"/>
      <c r="I32" s="13"/>
      <c r="J32" s="13"/>
      <c r="K32" s="14"/>
      <c r="L32" s="13"/>
    </row>
    <row r="33" spans="1:12" ht="53" customHeight="1" x14ac:dyDescent="0.2">
      <c r="A33" s="21"/>
      <c r="B33" s="292"/>
      <c r="C33" s="13"/>
      <c r="D33" s="13"/>
      <c r="E33" s="14"/>
      <c r="F33" s="13"/>
      <c r="G33" s="13"/>
      <c r="H33" s="14"/>
      <c r="I33" s="13"/>
      <c r="J33" s="13"/>
      <c r="K33" s="14"/>
      <c r="L33" s="13"/>
    </row>
    <row r="34" spans="1:12" ht="47" customHeight="1" x14ac:dyDescent="0.2">
      <c r="A34" s="22">
        <v>9</v>
      </c>
      <c r="B34" s="299" t="s">
        <v>22</v>
      </c>
      <c r="C34" s="23"/>
      <c r="D34" s="23"/>
      <c r="E34" s="24"/>
      <c r="F34" s="23"/>
      <c r="G34" s="23"/>
      <c r="H34" s="24"/>
      <c r="I34" s="23"/>
      <c r="J34" s="23"/>
      <c r="K34" s="24"/>
      <c r="L34" s="23"/>
    </row>
    <row r="35" spans="1:12" ht="47" customHeight="1" x14ac:dyDescent="0.2">
      <c r="A35" s="22"/>
      <c r="B35" s="299"/>
      <c r="C35" s="23"/>
      <c r="D35" s="23"/>
      <c r="E35" s="24"/>
      <c r="F35" s="23"/>
      <c r="G35" s="23"/>
      <c r="H35" s="24"/>
      <c r="I35" s="23"/>
      <c r="J35" s="23"/>
      <c r="K35" s="24"/>
    </row>
    <row r="36" spans="1:12" ht="47" customHeight="1" x14ac:dyDescent="0.2">
      <c r="A36" s="25">
        <v>10</v>
      </c>
      <c r="B36" s="299" t="s">
        <v>24</v>
      </c>
      <c r="C36" s="23"/>
      <c r="D36" s="23"/>
      <c r="E36" s="24"/>
      <c r="F36" s="23"/>
      <c r="G36" s="23"/>
      <c r="H36" s="24"/>
      <c r="I36" s="23"/>
      <c r="J36" s="23"/>
      <c r="K36" s="24"/>
      <c r="L36" s="3"/>
    </row>
    <row r="37" spans="1:12" ht="47" customHeight="1" x14ac:dyDescent="0.2">
      <c r="A37" s="25"/>
      <c r="B37" s="299"/>
      <c r="C37" s="23"/>
      <c r="D37" s="23"/>
      <c r="E37" s="24"/>
      <c r="F37" s="23"/>
      <c r="G37" s="23"/>
      <c r="H37" s="23"/>
      <c r="I37" s="23"/>
      <c r="J37" s="23"/>
      <c r="K37" s="23"/>
    </row>
    <row r="45" spans="1:12" x14ac:dyDescent="0.2">
      <c r="B45" s="26" t="s">
        <v>25</v>
      </c>
      <c r="C45" s="27" t="s">
        <v>26</v>
      </c>
    </row>
    <row r="46" spans="1:12" x14ac:dyDescent="0.2">
      <c r="A46" s="28">
        <v>11.1</v>
      </c>
      <c r="B46" s="29" t="s">
        <v>8</v>
      </c>
      <c r="C46" s="30"/>
    </row>
    <row r="47" spans="1:12" x14ac:dyDescent="0.2">
      <c r="A47" s="28">
        <v>11.2</v>
      </c>
      <c r="B47" s="29" t="s">
        <v>16</v>
      </c>
      <c r="C47" s="30"/>
    </row>
    <row r="48" spans="1:12" x14ac:dyDescent="0.2">
      <c r="A48" s="28">
        <v>11.3</v>
      </c>
      <c r="B48" s="29" t="s">
        <v>27</v>
      </c>
      <c r="C48" s="30"/>
    </row>
    <row r="49" spans="1:11" x14ac:dyDescent="0.2">
      <c r="A49" s="28">
        <v>11.4</v>
      </c>
      <c r="B49" s="29" t="s">
        <v>28</v>
      </c>
      <c r="C49" s="30"/>
    </row>
    <row r="50" spans="1:11" x14ac:dyDescent="0.2">
      <c r="A50" s="28">
        <v>11.5</v>
      </c>
      <c r="B50" s="29" t="s">
        <v>12</v>
      </c>
      <c r="C50" s="30"/>
    </row>
    <row r="51" spans="1:11" x14ac:dyDescent="0.2">
      <c r="A51" s="28">
        <v>11.6</v>
      </c>
      <c r="B51" s="29" t="s">
        <v>29</v>
      </c>
      <c r="C51" s="30"/>
    </row>
    <row r="52" spans="1:11" x14ac:dyDescent="0.2">
      <c r="A52" s="28">
        <v>11.6</v>
      </c>
      <c r="B52" s="29" t="s">
        <v>30</v>
      </c>
      <c r="C52" s="30"/>
    </row>
    <row r="53" spans="1:11" x14ac:dyDescent="0.2">
      <c r="A53" s="31">
        <v>12.1</v>
      </c>
      <c r="B53" s="29" t="s">
        <v>31</v>
      </c>
      <c r="C53" s="32"/>
    </row>
    <row r="54" spans="1:11" x14ac:dyDescent="0.2">
      <c r="A54" s="31">
        <v>12.2</v>
      </c>
      <c r="B54" s="29" t="s">
        <v>32</v>
      </c>
      <c r="C54" s="32"/>
    </row>
    <row r="55" spans="1:11" x14ac:dyDescent="0.2">
      <c r="A55" s="31">
        <v>12.3</v>
      </c>
      <c r="B55" s="29" t="s">
        <v>33</v>
      </c>
      <c r="C55" s="32"/>
    </row>
    <row r="56" spans="1:11" x14ac:dyDescent="0.2">
      <c r="A56" s="33">
        <v>13.1</v>
      </c>
      <c r="B56" s="29" t="s">
        <v>10</v>
      </c>
      <c r="C56" s="34"/>
    </row>
    <row r="57" spans="1:11" x14ac:dyDescent="0.2">
      <c r="A57" s="33">
        <v>13.2</v>
      </c>
      <c r="B57" s="29" t="s">
        <v>23</v>
      </c>
      <c r="C57" s="34"/>
    </row>
    <row r="58" spans="1:11" x14ac:dyDescent="0.2">
      <c r="A58" s="33">
        <v>13.3</v>
      </c>
      <c r="B58" s="29" t="s">
        <v>34</v>
      </c>
      <c r="C58" s="34"/>
    </row>
    <row r="60" spans="1:11" x14ac:dyDescent="0.2">
      <c r="A60" s="35">
        <v>14</v>
      </c>
      <c r="B60" t="s">
        <v>35</v>
      </c>
      <c r="J60" s="3"/>
      <c r="K60" s="289"/>
    </row>
    <row r="61" spans="1:11" x14ac:dyDescent="0.2">
      <c r="A61" s="36">
        <v>15</v>
      </c>
      <c r="B61" t="s">
        <v>36</v>
      </c>
      <c r="J61" s="3"/>
      <c r="K61" s="37"/>
    </row>
    <row r="62" spans="1:11" x14ac:dyDescent="0.2">
      <c r="A62" s="38">
        <v>16</v>
      </c>
      <c r="B62" t="s">
        <v>37</v>
      </c>
      <c r="J62" s="3"/>
      <c r="K62" s="37"/>
    </row>
    <row r="63" spans="1:11" x14ac:dyDescent="0.2">
      <c r="A63" s="39">
        <v>17</v>
      </c>
      <c r="B63" t="s">
        <v>38</v>
      </c>
      <c r="J63" s="3"/>
    </row>
  </sheetData>
  <mergeCells count="13">
    <mergeCell ref="B36:B37"/>
    <mergeCell ref="B24:B25"/>
    <mergeCell ref="B26:B27"/>
    <mergeCell ref="B28:B29"/>
    <mergeCell ref="B30:B31"/>
    <mergeCell ref="B32:B33"/>
    <mergeCell ref="B34:B35"/>
    <mergeCell ref="B22:B23"/>
    <mergeCell ref="C16:E16"/>
    <mergeCell ref="F16:H16"/>
    <mergeCell ref="I16:K16"/>
    <mergeCell ref="B18:B19"/>
    <mergeCell ref="B20:B21"/>
  </mergeCells>
  <pageMargins left="0.7" right="0.7" top="0.75" bottom="0.75" header="0.3" footer="0.3"/>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D53034-0C5A-6A4F-9498-1A92449B06A0}">
  <sheetPr>
    <tabColor theme="7" tint="0.79998168889431442"/>
  </sheetPr>
  <dimension ref="A9:L100"/>
  <sheetViews>
    <sheetView zoomScale="125" zoomScaleNormal="125" zoomScalePageLayoutView="125" workbookViewId="0">
      <selection activeCell="C23" sqref="C23"/>
    </sheetView>
  </sheetViews>
  <sheetFormatPr baseColWidth="10" defaultRowHeight="16" x14ac:dyDescent="0.2"/>
  <cols>
    <col min="2" max="2" width="39.1640625" customWidth="1"/>
    <col min="3" max="3" width="27.1640625" customWidth="1"/>
    <col min="4" max="4" width="16.33203125" bestFit="1" customWidth="1"/>
    <col min="5" max="5" width="23.33203125" bestFit="1" customWidth="1"/>
    <col min="6" max="6" width="15.83203125" customWidth="1"/>
    <col min="7" max="7" width="16.33203125" bestFit="1" customWidth="1"/>
    <col min="9" max="9" width="18.5" customWidth="1"/>
    <col min="10" max="10" width="16.33203125" bestFit="1" customWidth="1"/>
    <col min="12" max="12" width="82.1640625" bestFit="1" customWidth="1"/>
  </cols>
  <sheetData>
    <row r="9" spans="1:11" x14ac:dyDescent="0.2">
      <c r="A9" s="1" t="s">
        <v>68</v>
      </c>
    </row>
    <row r="11" spans="1:11" x14ac:dyDescent="0.2">
      <c r="C11" s="67"/>
      <c r="D11" s="67" t="s">
        <v>0</v>
      </c>
      <c r="E11" s="67"/>
      <c r="F11" s="68"/>
      <c r="G11" s="68" t="s">
        <v>1</v>
      </c>
      <c r="H11" s="68"/>
      <c r="I11" s="69"/>
      <c r="J11" s="69" t="s">
        <v>69</v>
      </c>
      <c r="K11" s="69"/>
    </row>
    <row r="12" spans="1:11" x14ac:dyDescent="0.2">
      <c r="C12" s="67" t="s">
        <v>3</v>
      </c>
      <c r="D12" s="67" t="s">
        <v>4</v>
      </c>
      <c r="E12" s="67" t="s">
        <v>5</v>
      </c>
      <c r="F12" s="68" t="s">
        <v>3</v>
      </c>
      <c r="G12" s="68" t="s">
        <v>4</v>
      </c>
      <c r="H12" s="68" t="s">
        <v>5</v>
      </c>
      <c r="I12" s="69" t="s">
        <v>3</v>
      </c>
      <c r="J12" s="69" t="s">
        <v>4</v>
      </c>
      <c r="K12" s="69" t="s">
        <v>5</v>
      </c>
    </row>
    <row r="13" spans="1:11" ht="17" x14ac:dyDescent="0.2">
      <c r="A13" s="70" t="s">
        <v>70</v>
      </c>
      <c r="B13" s="299" t="s">
        <v>71</v>
      </c>
      <c r="C13" s="71" t="s">
        <v>8</v>
      </c>
      <c r="D13" s="71" t="s">
        <v>9</v>
      </c>
      <c r="E13" s="72">
        <v>4500</v>
      </c>
      <c r="F13" s="71"/>
      <c r="G13" s="71"/>
      <c r="H13" s="72"/>
      <c r="I13" s="71" t="s">
        <v>72</v>
      </c>
      <c r="J13" s="71" t="s">
        <v>9</v>
      </c>
      <c r="K13" s="72">
        <v>4500</v>
      </c>
    </row>
    <row r="14" spans="1:11" x14ac:dyDescent="0.2">
      <c r="A14" s="70"/>
      <c r="B14" s="299"/>
      <c r="C14" s="71"/>
      <c r="D14" s="71"/>
      <c r="E14" s="72"/>
      <c r="F14" s="71"/>
      <c r="G14" s="71"/>
      <c r="H14" s="72"/>
      <c r="I14" s="71"/>
      <c r="J14" s="71"/>
      <c r="K14" s="72"/>
    </row>
    <row r="15" spans="1:11" ht="17" x14ac:dyDescent="0.2">
      <c r="A15" s="73" t="s">
        <v>73</v>
      </c>
      <c r="B15" s="299" t="s">
        <v>74</v>
      </c>
      <c r="C15" s="71" t="s">
        <v>8</v>
      </c>
      <c r="D15" s="71" t="s">
        <v>14</v>
      </c>
      <c r="E15" s="72">
        <v>400</v>
      </c>
      <c r="F15" s="71"/>
      <c r="G15" s="71"/>
      <c r="H15" s="72"/>
      <c r="I15" s="71"/>
      <c r="J15" s="71"/>
      <c r="K15" s="72"/>
    </row>
    <row r="16" spans="1:11" ht="16" customHeight="1" x14ac:dyDescent="0.2">
      <c r="A16" s="73"/>
      <c r="B16" s="299"/>
      <c r="C16" s="71" t="s">
        <v>75</v>
      </c>
      <c r="D16" s="71" t="s">
        <v>9</v>
      </c>
      <c r="E16" s="72">
        <v>400</v>
      </c>
      <c r="F16" s="71"/>
      <c r="G16" s="71"/>
      <c r="H16" s="72"/>
      <c r="I16" s="71"/>
      <c r="J16" s="71"/>
      <c r="K16" s="72"/>
    </row>
    <row r="17" spans="1:12" ht="34" customHeight="1" x14ac:dyDescent="0.2">
      <c r="A17" s="74">
        <v>1</v>
      </c>
      <c r="B17" s="299" t="s">
        <v>76</v>
      </c>
      <c r="C17" s="71"/>
      <c r="D17" s="71"/>
      <c r="E17" s="72"/>
      <c r="F17" s="71"/>
      <c r="G17" s="71"/>
      <c r="H17" s="72"/>
      <c r="I17" s="71"/>
      <c r="J17" s="71"/>
      <c r="K17" s="72"/>
    </row>
    <row r="18" spans="1:12" ht="15" customHeight="1" x14ac:dyDescent="0.2">
      <c r="A18" s="74"/>
      <c r="B18" s="299"/>
      <c r="K18" s="75"/>
    </row>
    <row r="19" spans="1:12" x14ac:dyDescent="0.2">
      <c r="A19" s="76">
        <v>2</v>
      </c>
      <c r="B19" s="299" t="s">
        <v>77</v>
      </c>
      <c r="C19" s="71"/>
      <c r="D19" s="71"/>
      <c r="E19" s="72"/>
      <c r="F19" s="71"/>
      <c r="G19" s="71"/>
      <c r="H19" s="72"/>
      <c r="I19" s="71"/>
      <c r="J19" s="71"/>
      <c r="K19" s="72"/>
    </row>
    <row r="20" spans="1:12" x14ac:dyDescent="0.2">
      <c r="A20" s="76"/>
      <c r="B20" s="299"/>
      <c r="C20" s="71"/>
      <c r="D20" s="71"/>
      <c r="E20" s="72"/>
      <c r="F20" s="71"/>
      <c r="G20" s="71"/>
      <c r="H20" s="72"/>
      <c r="I20" s="71"/>
      <c r="J20" s="71"/>
      <c r="K20" s="72"/>
      <c r="L20" s="3"/>
    </row>
    <row r="21" spans="1:12" x14ac:dyDescent="0.2">
      <c r="A21" s="77">
        <v>3</v>
      </c>
      <c r="B21" s="299" t="s">
        <v>78</v>
      </c>
      <c r="C21" s="71"/>
      <c r="D21" s="71"/>
      <c r="E21" s="72"/>
      <c r="F21" s="71"/>
      <c r="G21" s="71"/>
      <c r="H21" s="72"/>
      <c r="I21" s="71"/>
      <c r="J21" s="71"/>
      <c r="K21" s="72"/>
      <c r="L21" s="12"/>
    </row>
    <row r="22" spans="1:12" x14ac:dyDescent="0.2">
      <c r="A22" s="77"/>
      <c r="B22" s="299"/>
    </row>
    <row r="23" spans="1:12" x14ac:dyDescent="0.2">
      <c r="A23" s="78">
        <v>4</v>
      </c>
      <c r="B23" s="299" t="s">
        <v>79</v>
      </c>
      <c r="C23" s="71"/>
      <c r="D23" s="71"/>
      <c r="E23" s="72"/>
      <c r="F23" s="71"/>
      <c r="G23" s="71"/>
      <c r="H23" s="72"/>
      <c r="I23" s="71"/>
      <c r="J23" s="71"/>
      <c r="K23" s="72"/>
      <c r="L23" s="12"/>
    </row>
    <row r="24" spans="1:12" x14ac:dyDescent="0.2">
      <c r="A24" s="78"/>
      <c r="B24" s="299"/>
      <c r="C24" s="71"/>
      <c r="D24" s="71"/>
      <c r="E24" s="72"/>
      <c r="F24" s="71"/>
      <c r="G24" s="71"/>
      <c r="H24" s="72"/>
      <c r="I24" s="71"/>
      <c r="J24" s="71"/>
      <c r="K24" s="72"/>
    </row>
    <row r="25" spans="1:12" x14ac:dyDescent="0.2">
      <c r="A25" s="79">
        <v>5</v>
      </c>
      <c r="B25" s="299" t="s">
        <v>80</v>
      </c>
      <c r="C25" s="71"/>
      <c r="D25" s="71"/>
      <c r="E25" s="72"/>
      <c r="F25" s="71"/>
      <c r="G25" s="71"/>
      <c r="H25" s="72"/>
      <c r="I25" s="71"/>
      <c r="J25" s="71"/>
      <c r="K25" s="72"/>
    </row>
    <row r="26" spans="1:12" ht="31" customHeight="1" x14ac:dyDescent="0.2">
      <c r="A26" s="79"/>
      <c r="B26" s="299"/>
      <c r="C26" s="71"/>
      <c r="D26" s="71"/>
      <c r="E26" s="72"/>
      <c r="F26" s="71"/>
      <c r="G26" s="71"/>
      <c r="H26" s="72"/>
      <c r="I26" s="71"/>
      <c r="J26" s="71"/>
      <c r="K26" s="72"/>
    </row>
    <row r="27" spans="1:12" x14ac:dyDescent="0.2">
      <c r="A27" s="80">
        <v>6</v>
      </c>
      <c r="B27" s="299" t="s">
        <v>81</v>
      </c>
      <c r="C27" s="71"/>
      <c r="D27" s="71"/>
      <c r="E27" s="72"/>
      <c r="F27" s="71"/>
      <c r="G27" s="71"/>
      <c r="H27" s="72"/>
      <c r="I27" s="71"/>
      <c r="J27" s="71"/>
      <c r="K27" s="72"/>
    </row>
    <row r="28" spans="1:12" x14ac:dyDescent="0.2">
      <c r="A28" s="81"/>
      <c r="B28" s="299"/>
      <c r="C28" s="71"/>
      <c r="D28" s="71"/>
      <c r="E28" s="72"/>
      <c r="F28" s="71"/>
      <c r="G28" s="71"/>
      <c r="H28" s="72"/>
      <c r="I28" s="71"/>
      <c r="J28" s="71"/>
      <c r="K28" s="72"/>
    </row>
    <row r="29" spans="1:12" ht="34" customHeight="1" x14ac:dyDescent="0.2">
      <c r="A29" s="82">
        <v>7</v>
      </c>
      <c r="B29" s="299" t="s">
        <v>82</v>
      </c>
      <c r="C29" s="71"/>
      <c r="D29" s="71"/>
      <c r="E29" s="72"/>
      <c r="F29" s="71"/>
      <c r="G29" s="71"/>
      <c r="H29" s="72"/>
      <c r="I29" s="71"/>
      <c r="J29" s="71"/>
      <c r="K29" s="72"/>
      <c r="L29" s="299"/>
    </row>
    <row r="30" spans="1:12" ht="34" customHeight="1" x14ac:dyDescent="0.2">
      <c r="A30" s="82"/>
      <c r="B30" s="299"/>
      <c r="C30" s="71"/>
      <c r="D30" s="71"/>
      <c r="E30" s="72"/>
      <c r="F30" s="71"/>
      <c r="G30" s="71"/>
      <c r="H30" s="72"/>
      <c r="I30" s="71"/>
      <c r="J30" s="71"/>
      <c r="K30" s="72"/>
      <c r="L30" s="299"/>
    </row>
    <row r="31" spans="1:12" x14ac:dyDescent="0.2">
      <c r="A31" s="83">
        <v>8</v>
      </c>
      <c r="B31" s="299" t="s">
        <v>83</v>
      </c>
      <c r="C31" s="71"/>
      <c r="D31" s="71"/>
      <c r="E31" s="72"/>
      <c r="F31" s="71"/>
      <c r="G31" s="71"/>
      <c r="H31" s="72"/>
      <c r="I31" s="71"/>
      <c r="J31" s="71"/>
      <c r="K31" s="72"/>
      <c r="L31" s="12"/>
    </row>
    <row r="32" spans="1:12" x14ac:dyDescent="0.2">
      <c r="A32" s="83"/>
      <c r="B32" s="299"/>
      <c r="C32" s="71"/>
      <c r="D32" s="71"/>
      <c r="E32" s="72"/>
      <c r="F32" s="71"/>
      <c r="G32" s="71"/>
      <c r="H32" s="72"/>
      <c r="I32" s="71"/>
      <c r="J32" s="71"/>
      <c r="K32" s="72"/>
    </row>
    <row r="33" spans="1:12" x14ac:dyDescent="0.2">
      <c r="A33" s="84">
        <v>9</v>
      </c>
      <c r="B33" s="299" t="s">
        <v>84</v>
      </c>
      <c r="C33" s="71"/>
      <c r="D33" s="71"/>
      <c r="E33" s="72"/>
      <c r="F33" s="71"/>
      <c r="G33" s="71"/>
      <c r="H33" s="72"/>
      <c r="I33" s="71"/>
      <c r="J33" s="71"/>
      <c r="K33" s="72"/>
      <c r="L33" s="12"/>
    </row>
    <row r="34" spans="1:12" x14ac:dyDescent="0.2">
      <c r="A34" s="85"/>
      <c r="B34" s="299"/>
      <c r="C34" s="71"/>
      <c r="D34" s="71"/>
      <c r="E34" s="72"/>
      <c r="F34" s="71"/>
      <c r="G34" s="71"/>
      <c r="H34" s="72"/>
      <c r="I34" s="71"/>
      <c r="J34" s="71"/>
      <c r="K34" s="72"/>
    </row>
    <row r="35" spans="1:12" x14ac:dyDescent="0.2">
      <c r="A35" s="86">
        <v>10</v>
      </c>
      <c r="B35" s="299" t="s">
        <v>85</v>
      </c>
      <c r="C35" s="71"/>
      <c r="D35" s="71"/>
      <c r="E35" s="72"/>
      <c r="F35" s="71"/>
      <c r="G35" s="71"/>
      <c r="H35" s="72"/>
      <c r="I35" s="71"/>
      <c r="J35" s="71"/>
      <c r="K35" s="72"/>
    </row>
    <row r="36" spans="1:12" x14ac:dyDescent="0.2">
      <c r="A36" s="86"/>
      <c r="B36" s="299"/>
      <c r="C36" s="71"/>
      <c r="D36" s="71"/>
      <c r="E36" s="72"/>
      <c r="F36" s="71"/>
      <c r="G36" s="71"/>
      <c r="H36" s="72"/>
      <c r="I36" s="71"/>
      <c r="J36" s="71"/>
      <c r="K36" s="72"/>
    </row>
    <row r="37" spans="1:12" x14ac:dyDescent="0.2">
      <c r="A37" s="87">
        <v>11</v>
      </c>
      <c r="B37" s="299" t="s">
        <v>86</v>
      </c>
      <c r="C37" s="71"/>
      <c r="D37" s="71"/>
      <c r="E37" s="72"/>
      <c r="F37" s="71"/>
      <c r="G37" s="71"/>
      <c r="H37" s="72"/>
      <c r="I37" s="71"/>
      <c r="J37" s="71"/>
      <c r="K37" s="72"/>
    </row>
    <row r="38" spans="1:12" x14ac:dyDescent="0.2">
      <c r="A38" s="76"/>
      <c r="B38" s="299"/>
      <c r="C38" s="71"/>
      <c r="D38" s="71"/>
      <c r="E38" s="72"/>
      <c r="F38" s="71"/>
      <c r="G38" s="71"/>
      <c r="H38" s="72"/>
      <c r="I38" s="71"/>
      <c r="J38" s="71"/>
      <c r="K38" s="72"/>
    </row>
    <row r="39" spans="1:12" x14ac:dyDescent="0.2">
      <c r="A39" s="88">
        <v>12</v>
      </c>
      <c r="B39" s="299" t="s">
        <v>87</v>
      </c>
      <c r="C39" s="71"/>
      <c r="D39" s="71"/>
      <c r="E39" s="72"/>
      <c r="F39" s="71"/>
      <c r="G39" s="71"/>
      <c r="H39" s="72"/>
      <c r="I39" s="71"/>
      <c r="J39" s="71"/>
      <c r="K39" s="72"/>
      <c r="L39" s="12"/>
    </row>
    <row r="40" spans="1:12" ht="69" customHeight="1" x14ac:dyDescent="0.2">
      <c r="A40" s="88"/>
      <c r="B40" s="299"/>
      <c r="C40" s="71"/>
      <c r="D40" s="71"/>
      <c r="E40" s="72"/>
      <c r="F40" s="71"/>
      <c r="G40" s="71"/>
      <c r="H40" s="72"/>
      <c r="I40" s="71"/>
      <c r="J40" s="71"/>
      <c r="K40" s="72"/>
    </row>
    <row r="41" spans="1:12" x14ac:dyDescent="0.2">
      <c r="A41" s="89">
        <v>13</v>
      </c>
      <c r="B41" s="299" t="s">
        <v>88</v>
      </c>
      <c r="C41" s="71"/>
      <c r="D41" s="71"/>
      <c r="E41" s="72"/>
      <c r="F41" s="71"/>
      <c r="G41" s="71"/>
      <c r="H41" s="72"/>
      <c r="I41" s="71"/>
      <c r="J41" s="71"/>
      <c r="K41" s="72"/>
    </row>
    <row r="42" spans="1:12" ht="48" customHeight="1" x14ac:dyDescent="0.2">
      <c r="A42" s="89"/>
      <c r="B42" s="299"/>
      <c r="C42" s="71"/>
      <c r="D42" s="71"/>
      <c r="E42" s="72"/>
      <c r="F42" s="71"/>
      <c r="G42" s="71"/>
      <c r="H42" s="72"/>
      <c r="I42" s="71"/>
      <c r="J42" s="71"/>
      <c r="K42" s="72"/>
    </row>
    <row r="43" spans="1:12" ht="32" customHeight="1" x14ac:dyDescent="0.2">
      <c r="A43" s="90">
        <v>14</v>
      </c>
      <c r="B43" s="299" t="s">
        <v>89</v>
      </c>
      <c r="C43" s="71"/>
      <c r="D43" s="71"/>
      <c r="E43" s="72"/>
      <c r="F43" s="71"/>
      <c r="G43" s="71"/>
      <c r="H43" s="72"/>
      <c r="I43" s="71"/>
      <c r="J43" s="71"/>
      <c r="K43" s="72"/>
    </row>
    <row r="44" spans="1:12" x14ac:dyDescent="0.2">
      <c r="A44" s="90"/>
      <c r="B44" s="299"/>
      <c r="C44" s="71"/>
      <c r="D44" s="71"/>
      <c r="E44" s="72"/>
      <c r="F44" s="71"/>
      <c r="G44" s="71"/>
      <c r="H44" s="72"/>
      <c r="I44" s="71"/>
      <c r="J44" s="71"/>
      <c r="K44" s="72"/>
    </row>
    <row r="45" spans="1:12" ht="34" customHeight="1" x14ac:dyDescent="0.2">
      <c r="A45" s="91">
        <v>15</v>
      </c>
      <c r="B45" s="299" t="s">
        <v>90</v>
      </c>
      <c r="C45" s="71"/>
      <c r="D45" s="71"/>
      <c r="E45" s="72"/>
      <c r="F45" s="71"/>
      <c r="G45" s="71"/>
      <c r="H45" s="72"/>
      <c r="I45" s="71"/>
      <c r="J45" s="71"/>
      <c r="K45" s="72"/>
      <c r="L45" s="299"/>
    </row>
    <row r="46" spans="1:12" x14ac:dyDescent="0.2">
      <c r="A46" s="91"/>
      <c r="B46" s="299"/>
      <c r="C46" s="71"/>
      <c r="D46" s="71"/>
      <c r="E46" s="72"/>
      <c r="F46" s="71"/>
      <c r="G46" s="71"/>
      <c r="H46" s="72"/>
      <c r="I46" s="71"/>
      <c r="J46" s="71"/>
      <c r="K46" s="72"/>
      <c r="L46" s="299"/>
    </row>
    <row r="47" spans="1:12" x14ac:dyDescent="0.2">
      <c r="A47" s="91"/>
      <c r="B47" s="299"/>
      <c r="C47" s="71"/>
      <c r="D47" s="71"/>
      <c r="E47" s="72"/>
      <c r="F47" s="71"/>
      <c r="G47" s="71"/>
      <c r="H47" s="72"/>
      <c r="I47" s="71"/>
      <c r="J47" s="71"/>
      <c r="K47" s="72"/>
      <c r="L47" s="299"/>
    </row>
    <row r="48" spans="1:12" x14ac:dyDescent="0.2">
      <c r="A48" s="84">
        <v>16</v>
      </c>
      <c r="B48" s="299" t="s">
        <v>91</v>
      </c>
      <c r="C48" s="71"/>
      <c r="D48" s="71"/>
      <c r="E48" s="72"/>
      <c r="F48" s="71"/>
      <c r="G48" s="71"/>
      <c r="H48" s="72"/>
      <c r="I48" s="71"/>
      <c r="J48" s="71"/>
      <c r="K48" s="72"/>
    </row>
    <row r="49" spans="1:12" x14ac:dyDescent="0.2">
      <c r="A49" s="85"/>
      <c r="B49" s="299"/>
      <c r="C49" s="71"/>
      <c r="D49" s="71"/>
      <c r="E49" s="72"/>
      <c r="F49" s="71"/>
      <c r="G49" s="71"/>
      <c r="H49" s="72"/>
      <c r="I49" s="71"/>
      <c r="J49" s="71"/>
      <c r="K49" s="72"/>
    </row>
    <row r="50" spans="1:12" ht="37" customHeight="1" x14ac:dyDescent="0.2">
      <c r="A50" s="92">
        <v>17</v>
      </c>
      <c r="B50" s="299" t="s">
        <v>92</v>
      </c>
      <c r="C50" s="71"/>
      <c r="D50" s="71"/>
      <c r="E50" s="72"/>
      <c r="F50" s="71"/>
      <c r="G50" s="71"/>
      <c r="H50" s="72"/>
      <c r="I50" s="71"/>
      <c r="J50" s="71"/>
      <c r="K50" s="72"/>
      <c r="L50" s="3"/>
    </row>
    <row r="51" spans="1:12" x14ac:dyDescent="0.2">
      <c r="A51" s="62"/>
      <c r="B51" s="299"/>
      <c r="C51" s="71"/>
      <c r="D51" s="71"/>
      <c r="E51" s="72"/>
      <c r="F51" s="71"/>
      <c r="G51" s="71"/>
      <c r="H51" s="72"/>
      <c r="I51" s="71"/>
      <c r="J51" s="71"/>
      <c r="K51" s="72"/>
    </row>
    <row r="52" spans="1:12" x14ac:dyDescent="0.2">
      <c r="A52" s="57">
        <v>18</v>
      </c>
      <c r="B52" s="299" t="s">
        <v>93</v>
      </c>
      <c r="C52" s="71"/>
      <c r="D52" s="71"/>
      <c r="E52" s="72"/>
      <c r="F52" s="71"/>
      <c r="G52" s="71"/>
      <c r="H52" s="72"/>
      <c r="I52" s="71"/>
      <c r="J52" s="71"/>
      <c r="K52" s="72"/>
    </row>
    <row r="53" spans="1:12" x14ac:dyDescent="0.2">
      <c r="A53" s="57"/>
      <c r="B53" s="299"/>
      <c r="C53" s="71"/>
      <c r="D53" s="71"/>
      <c r="E53" s="72"/>
      <c r="F53" s="71"/>
      <c r="G53" s="71"/>
      <c r="H53" s="72"/>
      <c r="I53" s="71"/>
      <c r="J53" s="71"/>
      <c r="K53" s="72"/>
    </row>
    <row r="54" spans="1:12" ht="51" x14ac:dyDescent="0.2">
      <c r="A54" s="78">
        <v>19</v>
      </c>
      <c r="B54" s="12" t="s">
        <v>94</v>
      </c>
      <c r="C54" s="71"/>
      <c r="D54" s="71"/>
      <c r="E54" s="72"/>
      <c r="F54" s="71"/>
      <c r="G54" s="71"/>
      <c r="H54" s="72"/>
      <c r="I54" s="71"/>
      <c r="J54" s="71"/>
      <c r="K54" s="72"/>
      <c r="L54" s="12"/>
    </row>
    <row r="55" spans="1:12" ht="47" customHeight="1" x14ac:dyDescent="0.2">
      <c r="A55" s="81">
        <v>20</v>
      </c>
      <c r="B55" s="299" t="s">
        <v>95</v>
      </c>
      <c r="C55" s="71"/>
      <c r="D55" s="71"/>
      <c r="E55" s="72"/>
      <c r="F55" s="71"/>
      <c r="G55" s="71"/>
      <c r="H55" s="72"/>
      <c r="I55" s="71"/>
      <c r="J55" s="71"/>
      <c r="K55" s="72"/>
      <c r="L55" s="12"/>
    </row>
    <row r="56" spans="1:12" x14ac:dyDescent="0.2">
      <c r="A56" s="81"/>
      <c r="B56" s="299"/>
      <c r="C56" s="71"/>
      <c r="D56" s="71"/>
      <c r="E56" s="72"/>
      <c r="F56" s="71"/>
      <c r="G56" s="71"/>
      <c r="H56" s="72"/>
      <c r="I56" s="71"/>
      <c r="J56" s="71"/>
      <c r="K56" s="72"/>
      <c r="L56" s="12"/>
    </row>
    <row r="57" spans="1:12" x14ac:dyDescent="0.2">
      <c r="A57" s="3"/>
      <c r="B57" s="12"/>
      <c r="C57" s="71"/>
      <c r="D57" s="71"/>
      <c r="E57" s="93"/>
      <c r="F57" s="71"/>
      <c r="G57" s="71"/>
      <c r="H57" s="93"/>
      <c r="I57" s="71"/>
      <c r="J57" s="71"/>
      <c r="K57" s="93"/>
    </row>
    <row r="58" spans="1:12" x14ac:dyDescent="0.2">
      <c r="A58" s="1" t="s">
        <v>96</v>
      </c>
    </row>
    <row r="60" spans="1:12" x14ac:dyDescent="0.2">
      <c r="C60" s="94" t="s">
        <v>0</v>
      </c>
      <c r="D60" s="95"/>
      <c r="E60" s="96" t="s">
        <v>97</v>
      </c>
      <c r="F60" s="97"/>
    </row>
    <row r="61" spans="1:12" x14ac:dyDescent="0.2">
      <c r="C61" s="98" t="s">
        <v>98</v>
      </c>
      <c r="D61" s="99"/>
      <c r="E61" t="s">
        <v>99</v>
      </c>
      <c r="F61" s="99"/>
    </row>
    <row r="62" spans="1:12" ht="17" x14ac:dyDescent="0.2">
      <c r="C62" s="100" t="s">
        <v>100</v>
      </c>
      <c r="D62" s="99"/>
      <c r="E62" t="s">
        <v>101</v>
      </c>
      <c r="F62" s="99"/>
    </row>
    <row r="63" spans="1:12" x14ac:dyDescent="0.2">
      <c r="C63" s="98" t="s">
        <v>102</v>
      </c>
      <c r="D63" s="99"/>
      <c r="E63" s="101" t="s">
        <v>103</v>
      </c>
      <c r="F63" s="102"/>
    </row>
    <row r="64" spans="1:12" x14ac:dyDescent="0.2">
      <c r="C64" s="98" t="s">
        <v>104</v>
      </c>
      <c r="D64" s="99"/>
      <c r="E64" t="s">
        <v>105</v>
      </c>
      <c r="F64" s="99"/>
    </row>
    <row r="65" spans="1:8" ht="34" x14ac:dyDescent="0.2">
      <c r="C65" s="100" t="s">
        <v>106</v>
      </c>
      <c r="D65" s="99"/>
      <c r="E65" t="s">
        <v>107</v>
      </c>
      <c r="F65" s="99"/>
    </row>
    <row r="66" spans="1:8" x14ac:dyDescent="0.2">
      <c r="C66" s="103" t="s">
        <v>108</v>
      </c>
      <c r="D66" s="104"/>
      <c r="E66" s="105" t="s">
        <v>109</v>
      </c>
      <c r="F66" s="104"/>
      <c r="H66" s="106"/>
    </row>
    <row r="68" spans="1:8" ht="51" x14ac:dyDescent="0.2">
      <c r="A68" s="91">
        <v>32</v>
      </c>
      <c r="B68" s="12" t="s">
        <v>110</v>
      </c>
      <c r="C68" s="4"/>
    </row>
    <row r="69" spans="1:8" ht="68" x14ac:dyDescent="0.2">
      <c r="A69" s="107">
        <v>33</v>
      </c>
      <c r="B69" s="12" t="s">
        <v>111</v>
      </c>
      <c r="C69" s="4"/>
    </row>
    <row r="71" spans="1:8" x14ac:dyDescent="0.2">
      <c r="A71" s="1"/>
    </row>
    <row r="72" spans="1:8" x14ac:dyDescent="0.2">
      <c r="A72" s="1"/>
    </row>
    <row r="73" spans="1:8" x14ac:dyDescent="0.2">
      <c r="A73" s="1"/>
    </row>
    <row r="74" spans="1:8" x14ac:dyDescent="0.2">
      <c r="A74" s="1"/>
    </row>
    <row r="75" spans="1:8" x14ac:dyDescent="0.2">
      <c r="A75" s="1"/>
    </row>
    <row r="76" spans="1:8" ht="102" x14ac:dyDescent="0.2">
      <c r="A76" s="108">
        <v>34</v>
      </c>
      <c r="B76" s="12" t="s">
        <v>112</v>
      </c>
      <c r="C76" s="109"/>
      <c r="D76" s="4"/>
    </row>
    <row r="77" spans="1:8" ht="68" x14ac:dyDescent="0.2">
      <c r="A77" s="76">
        <v>35</v>
      </c>
      <c r="B77" s="4" t="s">
        <v>113</v>
      </c>
      <c r="C77" s="4"/>
      <c r="D77" s="3"/>
    </row>
    <row r="78" spans="1:8" ht="51" x14ac:dyDescent="0.2">
      <c r="A78" s="77">
        <v>36</v>
      </c>
      <c r="B78" s="12" t="s">
        <v>114</v>
      </c>
      <c r="C78" s="109"/>
      <c r="D78" s="3"/>
    </row>
    <row r="81" spans="1:5" x14ac:dyDescent="0.2">
      <c r="A81" s="1" t="s">
        <v>115</v>
      </c>
    </row>
    <row r="83" spans="1:5" x14ac:dyDescent="0.2">
      <c r="C83" s="303" t="s">
        <v>116</v>
      </c>
      <c r="D83" s="303"/>
      <c r="E83" s="303"/>
    </row>
    <row r="84" spans="1:5" x14ac:dyDescent="0.2">
      <c r="C84" s="110" t="s">
        <v>117</v>
      </c>
      <c r="D84" s="111"/>
      <c r="E84" s="112"/>
    </row>
    <row r="85" spans="1:5" x14ac:dyDescent="0.2">
      <c r="C85" s="113" t="s">
        <v>118</v>
      </c>
      <c r="D85" s="114"/>
      <c r="E85" s="115"/>
    </row>
    <row r="86" spans="1:5" x14ac:dyDescent="0.2">
      <c r="C86" s="116" t="s">
        <v>119</v>
      </c>
      <c r="D86" s="117"/>
      <c r="E86" s="118"/>
    </row>
    <row r="87" spans="1:5" x14ac:dyDescent="0.2">
      <c r="C87" s="113" t="s">
        <v>120</v>
      </c>
      <c r="D87" s="114"/>
      <c r="E87" s="115"/>
    </row>
    <row r="88" spans="1:5" x14ac:dyDescent="0.2">
      <c r="C88" s="116" t="s">
        <v>121</v>
      </c>
      <c r="D88" s="117"/>
      <c r="E88" s="118"/>
    </row>
    <row r="89" spans="1:5" x14ac:dyDescent="0.2">
      <c r="C89" s="113" t="s">
        <v>122</v>
      </c>
      <c r="D89" s="114"/>
      <c r="E89" s="115"/>
    </row>
    <row r="90" spans="1:5" x14ac:dyDescent="0.2">
      <c r="C90" s="116" t="s">
        <v>123</v>
      </c>
      <c r="D90" s="117"/>
      <c r="E90" s="118"/>
    </row>
    <row r="91" spans="1:5" x14ac:dyDescent="0.2">
      <c r="C91" s="113" t="s">
        <v>124</v>
      </c>
      <c r="D91" s="114"/>
      <c r="E91" s="115"/>
    </row>
    <row r="92" spans="1:5" x14ac:dyDescent="0.2">
      <c r="C92" s="119" t="s">
        <v>125</v>
      </c>
      <c r="D92" s="120"/>
      <c r="E92" s="121"/>
    </row>
    <row r="93" spans="1:5" x14ac:dyDescent="0.2">
      <c r="C93" s="302" t="s">
        <v>126</v>
      </c>
      <c r="D93" s="302"/>
      <c r="E93" s="302"/>
    </row>
    <row r="94" spans="1:5" x14ac:dyDescent="0.2">
      <c r="C94" s="122" t="s">
        <v>127</v>
      </c>
      <c r="D94" s="123"/>
      <c r="E94" s="124"/>
    </row>
    <row r="95" spans="1:5" x14ac:dyDescent="0.2">
      <c r="C95" s="29" t="s">
        <v>128</v>
      </c>
      <c r="D95" s="29"/>
      <c r="E95" s="29"/>
    </row>
    <row r="96" spans="1:5" x14ac:dyDescent="0.2">
      <c r="C96" s="29" t="s">
        <v>129</v>
      </c>
      <c r="D96" s="29"/>
      <c r="E96" s="125"/>
    </row>
    <row r="97" spans="3:8" x14ac:dyDescent="0.2">
      <c r="C97" s="29" t="s">
        <v>130</v>
      </c>
      <c r="D97" s="29"/>
      <c r="E97" s="125"/>
    </row>
    <row r="98" spans="3:8" x14ac:dyDescent="0.2">
      <c r="C98" s="29" t="s">
        <v>131</v>
      </c>
      <c r="D98" s="29"/>
      <c r="E98" s="125"/>
      <c r="H98" s="106"/>
    </row>
    <row r="99" spans="3:8" x14ac:dyDescent="0.2">
      <c r="C99" s="29" t="s">
        <v>67</v>
      </c>
      <c r="D99" s="29"/>
      <c r="E99" s="126"/>
    </row>
    <row r="100" spans="3:8" x14ac:dyDescent="0.2">
      <c r="C100" s="127" t="s">
        <v>132</v>
      </c>
      <c r="D100" s="127"/>
      <c r="E100" s="128"/>
    </row>
  </sheetData>
  <mergeCells count="25">
    <mergeCell ref="B41:B42"/>
    <mergeCell ref="B43:B44"/>
    <mergeCell ref="C93:E93"/>
    <mergeCell ref="L45:L47"/>
    <mergeCell ref="B48:B49"/>
    <mergeCell ref="B50:B51"/>
    <mergeCell ref="B52:B53"/>
    <mergeCell ref="B55:B56"/>
    <mergeCell ref="C83:E83"/>
    <mergeCell ref="B45:B47"/>
    <mergeCell ref="L29:L30"/>
    <mergeCell ref="B31:B32"/>
    <mergeCell ref="B35:B36"/>
    <mergeCell ref="B37:B38"/>
    <mergeCell ref="B39:B40"/>
    <mergeCell ref="B33:B34"/>
    <mergeCell ref="B23:B24"/>
    <mergeCell ref="B25:B26"/>
    <mergeCell ref="B27:B28"/>
    <mergeCell ref="B29:B30"/>
    <mergeCell ref="B13:B14"/>
    <mergeCell ref="B15:B16"/>
    <mergeCell ref="B17:B18"/>
    <mergeCell ref="B19:B20"/>
    <mergeCell ref="B21:B22"/>
  </mergeCells>
  <pageMargins left="0.75" right="0.75" top="1" bottom="1" header="0.5" footer="0.5"/>
  <pageSetup orientation="portrait" horizontalDpi="4294967292" verticalDpi="4294967292"/>
  <drawing r:id="rId1"/>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11</vt:i4>
      </vt:variant>
    </vt:vector>
  </HeadingPairs>
  <TitlesOfParts>
    <vt:vector size="11" baseType="lpstr">
      <vt:lpstr>Problem 1 (W23) (Required)</vt:lpstr>
      <vt:lpstr>Problem 2 (W24) (Optional)</vt:lpstr>
      <vt:lpstr>Problem3 (W24) (Optional)</vt:lpstr>
      <vt:lpstr>Problem 4 (W24) (Optional)</vt:lpstr>
      <vt:lpstr>Problem 5 (Optional)</vt:lpstr>
      <vt:lpstr>Problem 6 (Optional)</vt:lpstr>
      <vt:lpstr>Problem 7 (Optional)</vt:lpstr>
      <vt:lpstr>Problem 8 (Optional)</vt:lpstr>
      <vt:lpstr>Problem 9 (Optional)</vt:lpstr>
      <vt:lpstr>Problem 10 (Optional)</vt:lpstr>
      <vt:lpstr>Problem 11 (Optional)</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Krislert</dc:creator>
  <cp:lastModifiedBy>Agunias, Edgar</cp:lastModifiedBy>
  <dcterms:created xsi:type="dcterms:W3CDTF">2024-02-07T02:33:21Z</dcterms:created>
  <dcterms:modified xsi:type="dcterms:W3CDTF">2026-02-11T00:28:48Z</dcterms:modified>
</cp:coreProperties>
</file>